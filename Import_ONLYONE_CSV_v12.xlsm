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Questa_cartella_di_lavoro"/>
  <xr:revisionPtr revIDLastSave="0" documentId="13_ncr:1_{5D983CE9-CB49-4F44-846E-94E83857D809}" xr6:coauthVersionLast="46" xr6:coauthVersionMax="46" xr10:uidLastSave="{00000000-0000-0000-0000-000000000000}"/>
  <bookViews>
    <workbookView xWindow="-108" yWindow="-108" windowWidth="23256" windowHeight="12720" xr2:uid="{00000000-000D-0000-FFFF-FFFF00000000}"/>
  </bookViews>
  <sheets>
    <sheet name="Sources" sheetId="26" r:id="rId1"/>
    <sheet name="Output" sheetId="29" r:id="rId2"/>
    <sheet name="Foglio2" sheetId="30" state="hidden" r:id="rId3"/>
    <sheet name="File" sheetId="23" state="hidden" r:id="rId4"/>
  </sheets>
  <definedNames>
    <definedName name="DatiEsterni_1" localSheetId="1" hidden="1">Output!$A$2:$N$102</definedName>
    <definedName name="DatiEsterni_3" localSheetId="3" hidden="1">File!#REF!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9" l="1"/>
  <c r="O1" i="30" s="1"/>
  <c r="A2" i="30" s="1"/>
  <c r="L13" i="30"/>
  <c r="K13" i="30"/>
  <c r="J13" i="30"/>
  <c r="I13" i="30"/>
  <c r="H13" i="30"/>
  <c r="G13" i="30"/>
  <c r="F13" i="30"/>
  <c r="E13" i="30"/>
  <c r="D13" i="30"/>
  <c r="C13" i="30"/>
  <c r="L12" i="30"/>
  <c r="K12" i="30"/>
  <c r="J12" i="30"/>
  <c r="I12" i="30"/>
  <c r="H12" i="30"/>
  <c r="G12" i="30"/>
  <c r="F12" i="30"/>
  <c r="E12" i="30"/>
  <c r="D12" i="30"/>
  <c r="C12" i="30"/>
  <c r="L11" i="30"/>
  <c r="K11" i="30"/>
  <c r="J11" i="30"/>
  <c r="I11" i="30"/>
  <c r="H11" i="30"/>
  <c r="G11" i="30"/>
  <c r="F11" i="30"/>
  <c r="E11" i="30"/>
  <c r="D11" i="30"/>
  <c r="C11" i="30"/>
  <c r="L10" i="30"/>
  <c r="K10" i="30"/>
  <c r="J10" i="30"/>
  <c r="I10" i="30"/>
  <c r="H10" i="30"/>
  <c r="G10" i="30"/>
  <c r="F10" i="30"/>
  <c r="E10" i="30"/>
  <c r="D10" i="30"/>
  <c r="C10" i="30"/>
  <c r="L9" i="30"/>
  <c r="K9" i="30"/>
  <c r="J9" i="30"/>
  <c r="I9" i="30"/>
  <c r="H9" i="30"/>
  <c r="G9" i="30"/>
  <c r="F9" i="30"/>
  <c r="E9" i="30"/>
  <c r="D9" i="30"/>
  <c r="C9" i="30"/>
  <c r="L8" i="30"/>
  <c r="K8" i="30"/>
  <c r="J8" i="30"/>
  <c r="I8" i="30"/>
  <c r="H8" i="30"/>
  <c r="G8" i="30"/>
  <c r="F8" i="30"/>
  <c r="E8" i="30"/>
  <c r="D8" i="30"/>
  <c r="C8" i="30"/>
  <c r="L7" i="30"/>
  <c r="K7" i="30"/>
  <c r="J7" i="30"/>
  <c r="I7" i="30"/>
  <c r="H7" i="30"/>
  <c r="G7" i="30"/>
  <c r="F7" i="30"/>
  <c r="E7" i="30"/>
  <c r="D7" i="30"/>
  <c r="C7" i="30"/>
  <c r="L6" i="30"/>
  <c r="K6" i="30"/>
  <c r="J6" i="30"/>
  <c r="I6" i="30"/>
  <c r="H6" i="30"/>
  <c r="G6" i="30"/>
  <c r="F6" i="30"/>
  <c r="E6" i="30"/>
  <c r="D6" i="30"/>
  <c r="C6" i="30"/>
  <c r="L5" i="30"/>
  <c r="K5" i="30"/>
  <c r="J5" i="30"/>
  <c r="I5" i="30"/>
  <c r="H5" i="30"/>
  <c r="G5" i="30"/>
  <c r="F5" i="30"/>
  <c r="E5" i="30"/>
  <c r="D5" i="30"/>
  <c r="C5" i="30"/>
  <c r="L4" i="30"/>
  <c r="K4" i="30"/>
  <c r="J4" i="30"/>
  <c r="I4" i="30"/>
  <c r="H4" i="30"/>
  <c r="G4" i="30"/>
  <c r="F4" i="30"/>
  <c r="E4" i="30"/>
  <c r="D4" i="30"/>
  <c r="C4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ParametersDelimiter" description="Connessione alla query 'fParametersDelimiter' nella cartella di lavoro." type="5" refreshedVersion="0" background="1">
    <dbPr connection="Provider=Microsoft.Mashup.OleDb.1;Data Source=$Workbook$;Location=fParametersDelimiter;Extended Properties=&quot;&quot;" command="SELECT * FROM [fParametersDelimiter]"/>
  </connection>
  <connection id="2" xr16:uid="{00000000-0015-0000-FFFF-FFFF01000000}" keepAlive="1" name="Query - Source" description="Connessione alla query 'Source' nella cartella di lavoro." type="5" refreshedVersion="6" background="1" saveData="1">
    <dbPr connection="Provider=Microsoft.Mashup.OleDb.1;Data Source=$Workbook$;Location=Source;Extended Properties=&quot;&quot;" command="SELECT * FROM [Source]"/>
  </connection>
</connections>
</file>

<file path=xl/sharedStrings.xml><?xml version="1.0" encoding="utf-8"?>
<sst xmlns="http://schemas.openxmlformats.org/spreadsheetml/2006/main" count="909" uniqueCount="560">
  <si>
    <t>FullPathName</t>
  </si>
  <si>
    <t>...</t>
  </si>
  <si>
    <t>ListDelimiter</t>
  </si>
  <si>
    <t>|</t>
  </si>
  <si>
    <t>;</t>
  </si>
  <si>
    <t>,</t>
  </si>
  <si>
    <t xml:space="preserve"> </t>
  </si>
  <si>
    <t>#(tab)</t>
  </si>
  <si>
    <t>DelimiterSelected</t>
  </si>
  <si>
    <t>KPI Value</t>
  </si>
  <si>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</si>
  <si>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</si>
  <si>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</si>
  <si>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</si>
  <si>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</si>
  <si>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</si>
  <si>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</si>
  <si>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</si>
  <si>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</si>
  <si>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</si>
  <si>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</si>
  <si>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</si>
  <si>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</si>
  <si>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</si>
  <si>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Australia and Oceania</t>
  </si>
  <si>
    <t>Tuvalu</t>
  </si>
  <si>
    <t>Baby Food</t>
  </si>
  <si>
    <t>Offline</t>
  </si>
  <si>
    <t>H</t>
  </si>
  <si>
    <t>5/28/2010</t>
  </si>
  <si>
    <t>669165933</t>
  </si>
  <si>
    <t>6/27/2010</t>
  </si>
  <si>
    <t>9925</t>
  </si>
  <si>
    <t>255.28</t>
  </si>
  <si>
    <t>159.42</t>
  </si>
  <si>
    <t>2533654.00</t>
  </si>
  <si>
    <t>1582243.50</t>
  </si>
  <si>
    <t>951410.50</t>
  </si>
  <si>
    <t>Central America and the Caribbean</t>
  </si>
  <si>
    <t>Cereal</t>
  </si>
  <si>
    <t>Online</t>
  </si>
  <si>
    <t>C</t>
  </si>
  <si>
    <t>205.70</t>
  </si>
  <si>
    <t>117.11</t>
  </si>
  <si>
    <t>Europe</t>
  </si>
  <si>
    <t>Russia</t>
  </si>
  <si>
    <t>Office Supplies</t>
  </si>
  <si>
    <t>L</t>
  </si>
  <si>
    <t>5/2/2014</t>
  </si>
  <si>
    <t>341417157</t>
  </si>
  <si>
    <t>5/8/2014</t>
  </si>
  <si>
    <t>1779</t>
  </si>
  <si>
    <t>651.21</t>
  </si>
  <si>
    <t>524.96</t>
  </si>
  <si>
    <t>1158502.59</t>
  </si>
  <si>
    <t>933903.84</t>
  </si>
  <si>
    <t>224598.75</t>
  </si>
  <si>
    <t>Sub-Saharan Africa</t>
  </si>
  <si>
    <t>Sao Tome and Principe</t>
  </si>
  <si>
    <t>Fruits</t>
  </si>
  <si>
    <t>9.33</t>
  </si>
  <si>
    <t>6.92</t>
  </si>
  <si>
    <t>Rwanda</t>
  </si>
  <si>
    <t>2/1/2013</t>
  </si>
  <si>
    <t>115456712</t>
  </si>
  <si>
    <t>2/6/2013</t>
  </si>
  <si>
    <t>5062</t>
  </si>
  <si>
    <t>3296425.02</t>
  </si>
  <si>
    <t>2657347.52</t>
  </si>
  <si>
    <t>639077.50</t>
  </si>
  <si>
    <t>Angola</t>
  </si>
  <si>
    <t>Household</t>
  </si>
  <si>
    <t>M</t>
  </si>
  <si>
    <t>4/23/2011</t>
  </si>
  <si>
    <t>135425221</t>
  </si>
  <si>
    <t>4/27/2011</t>
  </si>
  <si>
    <t>4187</t>
  </si>
  <si>
    <t>668.27</t>
  </si>
  <si>
    <t>502.54</t>
  </si>
  <si>
    <t>2798046.49</t>
  </si>
  <si>
    <t>2104134.98</t>
  </si>
  <si>
    <t>693911.51</t>
  </si>
  <si>
    <t>Vegetables</t>
  </si>
  <si>
    <t>154.06</t>
  </si>
  <si>
    <t>90.93</t>
  </si>
  <si>
    <t>Republic of the Congo</t>
  </si>
  <si>
    <t>Personal Care</t>
  </si>
  <si>
    <t>7/14/2015</t>
  </si>
  <si>
    <t>770463311</t>
  </si>
  <si>
    <t>8/25/2015</t>
  </si>
  <si>
    <t>6070</t>
  </si>
  <si>
    <t>81.73</t>
  </si>
  <si>
    <t>56.67</t>
  </si>
  <si>
    <t>496101.10</t>
  </si>
  <si>
    <t>343986.90</t>
  </si>
  <si>
    <t>152114.20</t>
  </si>
  <si>
    <t>Asia</t>
  </si>
  <si>
    <t>Cape Verde</t>
  </si>
  <si>
    <t>Clothes</t>
  </si>
  <si>
    <t>8/2/2014</t>
  </si>
  <si>
    <t>939825713</t>
  </si>
  <si>
    <t>8/19/2014</t>
  </si>
  <si>
    <t>4168</t>
  </si>
  <si>
    <t>109.28</t>
  </si>
  <si>
    <t>35.84</t>
  </si>
  <si>
    <t>455479.04</t>
  </si>
  <si>
    <t>149381.12</t>
  </si>
  <si>
    <t>306097.92</t>
  </si>
  <si>
    <t>Honduras</t>
  </si>
  <si>
    <t>2/8/2017</t>
  </si>
  <si>
    <t>522840487</t>
  </si>
  <si>
    <t>2/13/2017</t>
  </si>
  <si>
    <t>8974</t>
  </si>
  <si>
    <t>5997054.98</t>
  </si>
  <si>
    <t>4509793.96</t>
  </si>
  <si>
    <t>1487261.02</t>
  </si>
  <si>
    <t>Mongolia</t>
  </si>
  <si>
    <t>2/19/2014</t>
  </si>
  <si>
    <t>832401311</t>
  </si>
  <si>
    <t>2/23/2014</t>
  </si>
  <si>
    <t>4901</t>
  </si>
  <si>
    <t>400558.73</t>
  </si>
  <si>
    <t>277739.67</t>
  </si>
  <si>
    <t>122819.06</t>
  </si>
  <si>
    <t>Bulgaria</t>
  </si>
  <si>
    <t>4/23/2012</t>
  </si>
  <si>
    <t>972292029</t>
  </si>
  <si>
    <t>6/3/2012</t>
  </si>
  <si>
    <t>1673</t>
  </si>
  <si>
    <t>182825.44</t>
  </si>
  <si>
    <t>59960.32</t>
  </si>
  <si>
    <t>122865.12</t>
  </si>
  <si>
    <t>Sri Lanka</t>
  </si>
  <si>
    <t>Cosmetics</t>
  </si>
  <si>
    <t>11/19/2016</t>
  </si>
  <si>
    <t>419123971</t>
  </si>
  <si>
    <t>12/18/2016</t>
  </si>
  <si>
    <t>6952</t>
  </si>
  <si>
    <t>437.20</t>
  </si>
  <si>
    <t>263.33</t>
  </si>
  <si>
    <t>3039414.40</t>
  </si>
  <si>
    <t>1830670.16</t>
  </si>
  <si>
    <t>1208744.24</t>
  </si>
  <si>
    <t>Cameroon</t>
  </si>
  <si>
    <t>Beverages</t>
  </si>
  <si>
    <t>4/1/2015</t>
  </si>
  <si>
    <t>519820964</t>
  </si>
  <si>
    <t>4/18/2015</t>
  </si>
  <si>
    <t>5430</t>
  </si>
  <si>
    <t>47.45</t>
  </si>
  <si>
    <t>31.79</t>
  </si>
  <si>
    <t>257653.50</t>
  </si>
  <si>
    <t>172619.70</t>
  </si>
  <si>
    <t>85033.80</t>
  </si>
  <si>
    <t>Turkmenistan</t>
  </si>
  <si>
    <t>12/30/2010</t>
  </si>
  <si>
    <t>441619336</t>
  </si>
  <si>
    <t>1/20/2011</t>
  </si>
  <si>
    <t>3830</t>
  </si>
  <si>
    <t>2559474.10</t>
  </si>
  <si>
    <t>1924728.20</t>
  </si>
  <si>
    <t>634745.90</t>
  </si>
  <si>
    <t>Meat</t>
  </si>
  <si>
    <t>421.89</t>
  </si>
  <si>
    <t>364.69</t>
  </si>
  <si>
    <t>Norway</t>
  </si>
  <si>
    <t>Snacks</t>
  </si>
  <si>
    <t>152.58</t>
  </si>
  <si>
    <t>97.44</t>
  </si>
  <si>
    <t>Kiribati</t>
  </si>
  <si>
    <t>10/13/2014</t>
  </si>
  <si>
    <t>347140347</t>
  </si>
  <si>
    <t>11/10/2014</t>
  </si>
  <si>
    <t>5398</t>
  </si>
  <si>
    <t>50363.34</t>
  </si>
  <si>
    <t>37354.16</t>
  </si>
  <si>
    <t>13009.18</t>
  </si>
  <si>
    <t>Mali</t>
  </si>
  <si>
    <t>7/18/2014</t>
  </si>
  <si>
    <t>435608613</t>
  </si>
  <si>
    <t>7/30/2014</t>
  </si>
  <si>
    <t>5124</t>
  </si>
  <si>
    <t>243133.80</t>
  </si>
  <si>
    <t>162891.96</t>
  </si>
  <si>
    <t>80241.84</t>
  </si>
  <si>
    <t>The Gambia</t>
  </si>
  <si>
    <t>5/26/2012</t>
  </si>
  <si>
    <t>886494815</t>
  </si>
  <si>
    <t>6/9/2012</t>
  </si>
  <si>
    <t>2370</t>
  </si>
  <si>
    <t>1583799.90</t>
  </si>
  <si>
    <t>1191019.80</t>
  </si>
  <si>
    <t>392780.10</t>
  </si>
  <si>
    <t>Switzerland</t>
  </si>
  <si>
    <t>9/17/2012</t>
  </si>
  <si>
    <t>249693334</t>
  </si>
  <si>
    <t>10/20/2012</t>
  </si>
  <si>
    <t>8661</t>
  </si>
  <si>
    <t>3786589.20</t>
  </si>
  <si>
    <t>2280701.13</t>
  </si>
  <si>
    <t>1505888.07</t>
  </si>
  <si>
    <t>South Sudan</t>
  </si>
  <si>
    <t>12/29/2013</t>
  </si>
  <si>
    <t>406502997</t>
  </si>
  <si>
    <t>1/28/2014</t>
  </si>
  <si>
    <t>2125</t>
  </si>
  <si>
    <t>173676.25</t>
  </si>
  <si>
    <t>120423.75</t>
  </si>
  <si>
    <t>53252.50</t>
  </si>
  <si>
    <t>Australia</t>
  </si>
  <si>
    <t>Myanmar</t>
  </si>
  <si>
    <t>1/16/2015</t>
  </si>
  <si>
    <t>177713572</t>
  </si>
  <si>
    <t>3/1/2015</t>
  </si>
  <si>
    <t>8250</t>
  </si>
  <si>
    <t>5513227.50</t>
  </si>
  <si>
    <t>4145955.00</t>
  </si>
  <si>
    <t>1367272.50</t>
  </si>
  <si>
    <t>Djibouti</t>
  </si>
  <si>
    <t>2/25/2017</t>
  </si>
  <si>
    <t>756274640</t>
  </si>
  <si>
    <t>7327</t>
  </si>
  <si>
    <t>1117953.66</t>
  </si>
  <si>
    <t>713942.88</t>
  </si>
  <si>
    <t>404010.78</t>
  </si>
  <si>
    <t>Costa Rica</t>
  </si>
  <si>
    <t>5/8/2017</t>
  </si>
  <si>
    <t>456767165</t>
  </si>
  <si>
    <t>5/21/2017</t>
  </si>
  <si>
    <t>6409</t>
  </si>
  <si>
    <t>523807.57</t>
  </si>
  <si>
    <t>363198.03</t>
  </si>
  <si>
    <t>160609.54</t>
  </si>
  <si>
    <t>Middle East and North Africa</t>
  </si>
  <si>
    <t>1/14/2017</t>
  </si>
  <si>
    <t>825304400</t>
  </si>
  <si>
    <t>1/23/2017</t>
  </si>
  <si>
    <t>4767</t>
  </si>
  <si>
    <t>2011149.63</t>
  </si>
  <si>
    <t>1738477.23</t>
  </si>
  <si>
    <t>272672.40</t>
  </si>
  <si>
    <t>2/16/2012</t>
  </si>
  <si>
    <t>189965903</t>
  </si>
  <si>
    <t>2/28/2012</t>
  </si>
  <si>
    <t>3987</t>
  </si>
  <si>
    <t>2596374.27</t>
  </si>
  <si>
    <t>2093015.52</t>
  </si>
  <si>
    <t>503358.75</t>
  </si>
  <si>
    <t>Azerbaijan</t>
  </si>
  <si>
    <t>2/6/2010</t>
  </si>
  <si>
    <t>382392299</t>
  </si>
  <si>
    <t>2/25/2010</t>
  </si>
  <si>
    <t>7234</t>
  </si>
  <si>
    <t>3162704.80</t>
  </si>
  <si>
    <t>1904929.22</t>
  </si>
  <si>
    <t>1257775.58</t>
  </si>
  <si>
    <t>6/7/2012</t>
  </si>
  <si>
    <t>994022214</t>
  </si>
  <si>
    <t>6/8/2012</t>
  </si>
  <si>
    <t>2117</t>
  </si>
  <si>
    <t>435466.90</t>
  </si>
  <si>
    <t>247921.87</t>
  </si>
  <si>
    <t>187545.03</t>
  </si>
  <si>
    <t>Comoros</t>
  </si>
  <si>
    <t>3/29/2016</t>
  </si>
  <si>
    <t>902102267</t>
  </si>
  <si>
    <t>4/29/2016</t>
  </si>
  <si>
    <t>962</t>
  </si>
  <si>
    <t>197883.40</t>
  </si>
  <si>
    <t>112659.82</t>
  </si>
  <si>
    <t>85223.58</t>
  </si>
  <si>
    <t>12/23/2010</t>
  </si>
  <si>
    <t>617667090</t>
  </si>
  <si>
    <t>1/31/2011</t>
  </si>
  <si>
    <t>273</t>
  </si>
  <si>
    <t>22312.29</t>
  </si>
  <si>
    <t>15470.91</t>
  </si>
  <si>
    <t>6841.38</t>
  </si>
  <si>
    <t>Macedonia</t>
  </si>
  <si>
    <t>10/14/2014</t>
  </si>
  <si>
    <t>787399423</t>
  </si>
  <si>
    <t>11/14/2014</t>
  </si>
  <si>
    <t>7842</t>
  </si>
  <si>
    <t>856973.76</t>
  </si>
  <si>
    <t>281057.28</t>
  </si>
  <si>
    <t>575916.48</t>
  </si>
  <si>
    <t>Mauritania</t>
  </si>
  <si>
    <t>1/11/2012</t>
  </si>
  <si>
    <t>837559306</t>
  </si>
  <si>
    <t>1/13/2012</t>
  </si>
  <si>
    <t>1266</t>
  </si>
  <si>
    <t>824431.86</t>
  </si>
  <si>
    <t>664599.36</t>
  </si>
  <si>
    <t>159832.50</t>
  </si>
  <si>
    <t>Saudi Arabia</t>
  </si>
  <si>
    <t>3/25/2013</t>
  </si>
  <si>
    <t>844530045</t>
  </si>
  <si>
    <t>3/28/2013</t>
  </si>
  <si>
    <t>4063</t>
  </si>
  <si>
    <t>835759.10</t>
  </si>
  <si>
    <t>475817.93</t>
  </si>
  <si>
    <t>359941.17</t>
  </si>
  <si>
    <t>Sierra Leone</t>
  </si>
  <si>
    <t>11/26/2011</t>
  </si>
  <si>
    <t>441888415</t>
  </si>
  <si>
    <t>1/7/2012</t>
  </si>
  <si>
    <t>3457</t>
  </si>
  <si>
    <t>2251232.97</t>
  </si>
  <si>
    <t>1814786.72</t>
  </si>
  <si>
    <t>436446.25</t>
  </si>
  <si>
    <t>9/17/2013</t>
  </si>
  <si>
    <t>508980977</t>
  </si>
  <si>
    <t>10/24/2013</t>
  </si>
  <si>
    <t>7637</t>
  </si>
  <si>
    <t>71253.21</t>
  </si>
  <si>
    <t>52848.04</t>
  </si>
  <si>
    <t>18405.17</t>
  </si>
  <si>
    <t>Fiji</t>
  </si>
  <si>
    <t>6/30/2010</t>
  </si>
  <si>
    <t>647876489</t>
  </si>
  <si>
    <t>8/1/2010</t>
  </si>
  <si>
    <t>9905</t>
  </si>
  <si>
    <t>1082418.40</t>
  </si>
  <si>
    <t>354995.20</t>
  </si>
  <si>
    <t>727423.20</t>
  </si>
  <si>
    <t>Austria</t>
  </si>
  <si>
    <t>2/23/2015</t>
  </si>
  <si>
    <t>868214595</t>
  </si>
  <si>
    <t>3/2/2015</t>
  </si>
  <si>
    <t>2847</t>
  </si>
  <si>
    <t>1244708.40</t>
  </si>
  <si>
    <t>749700.51</t>
  </si>
  <si>
    <t>495007.89</t>
  </si>
  <si>
    <t>4/7/2014</t>
  </si>
  <si>
    <t>259353148</t>
  </si>
  <si>
    <t>4/19/2014</t>
  </si>
  <si>
    <t>7215</t>
  </si>
  <si>
    <t>3154398.00</t>
  </si>
  <si>
    <t>1899925.95</t>
  </si>
  <si>
    <t>1254472.05</t>
  </si>
  <si>
    <t>6/9/2013</t>
  </si>
  <si>
    <t>450563752</t>
  </si>
  <si>
    <t>7/2/2013</t>
  </si>
  <si>
    <t>682</t>
  </si>
  <si>
    <t>140287.40</t>
  </si>
  <si>
    <t>79869.02</t>
  </si>
  <si>
    <t>60418.38</t>
  </si>
  <si>
    <t>11/7/2011</t>
  </si>
  <si>
    <t>177636754</t>
  </si>
  <si>
    <t>11/15/2011</t>
  </si>
  <si>
    <t>5518</t>
  </si>
  <si>
    <t>3593376.78</t>
  </si>
  <si>
    <t>2896729.28</t>
  </si>
  <si>
    <t>696647.50</t>
  </si>
  <si>
    <t>Libya</t>
  </si>
  <si>
    <t>10/30/2010</t>
  </si>
  <si>
    <t>705784308</t>
  </si>
  <si>
    <t>11/17/2010</t>
  </si>
  <si>
    <t>6116</t>
  </si>
  <si>
    <t>668356.48</t>
  </si>
  <si>
    <t>219197.44</t>
  </si>
  <si>
    <t>449159.04</t>
  </si>
  <si>
    <t>Haiti</t>
  </si>
  <si>
    <t>10/13/2013</t>
  </si>
  <si>
    <t>505716836</t>
  </si>
  <si>
    <t>11/16/2013</t>
  </si>
  <si>
    <t>1705</t>
  </si>
  <si>
    <t>745426.00</t>
  </si>
  <si>
    <t>448977.65</t>
  </si>
  <si>
    <t>296448.35</t>
  </si>
  <si>
    <t>10/11/2013</t>
  </si>
  <si>
    <t>699358165</t>
  </si>
  <si>
    <t>11/25/2013</t>
  </si>
  <si>
    <t>4477</t>
  </si>
  <si>
    <t>1957344.40</t>
  </si>
  <si>
    <t>1178928.41</t>
  </si>
  <si>
    <t>778415.99</t>
  </si>
  <si>
    <t>Gabon</t>
  </si>
  <si>
    <t>7/8/2012</t>
  </si>
  <si>
    <t>228944623</t>
  </si>
  <si>
    <t>7/9/2012</t>
  </si>
  <si>
    <t>8656</t>
  </si>
  <si>
    <t>707454.88</t>
  </si>
  <si>
    <t>490535.52</t>
  </si>
  <si>
    <t>216919.36</t>
  </si>
  <si>
    <t>Belize</t>
  </si>
  <si>
    <t>7/25/2016</t>
  </si>
  <si>
    <t>807025039</t>
  </si>
  <si>
    <t>9/7/2016</t>
  </si>
  <si>
    <t>5498</t>
  </si>
  <si>
    <t>600821.44</t>
  </si>
  <si>
    <t>197048.32</t>
  </si>
  <si>
    <t>403773.12</t>
  </si>
  <si>
    <t>Lithuania</t>
  </si>
  <si>
    <t>10/24/2010</t>
  </si>
  <si>
    <t>166460740</t>
  </si>
  <si>
    <t>8287</t>
  </si>
  <si>
    <t>5396577.27</t>
  </si>
  <si>
    <t>4350343.52</t>
  </si>
  <si>
    <t>1046233.75</t>
  </si>
  <si>
    <t>Madagascar</t>
  </si>
  <si>
    <t>4/25/2015</t>
  </si>
  <si>
    <t>610425555</t>
  </si>
  <si>
    <t>5/28/2015</t>
  </si>
  <si>
    <t>7342</t>
  </si>
  <si>
    <t>802333.76</t>
  </si>
  <si>
    <t>263137.28</t>
  </si>
  <si>
    <t>539196.48</t>
  </si>
  <si>
    <t>4/23/2013</t>
  </si>
  <si>
    <t>462405812</t>
  </si>
  <si>
    <t>5/20/2013</t>
  </si>
  <si>
    <t>5010</t>
  </si>
  <si>
    <t>3262562.10</t>
  </si>
  <si>
    <t>2630049.60</t>
  </si>
  <si>
    <t>632512.50</t>
  </si>
  <si>
    <t>Pakistan</t>
  </si>
  <si>
    <t>7/5/2013</t>
  </si>
  <si>
    <t>231145322</t>
  </si>
  <si>
    <t>8/16/2013</t>
  </si>
  <si>
    <t>9892</t>
  </si>
  <si>
    <t>4324782.40</t>
  </si>
  <si>
    <t>2604860.36</t>
  </si>
  <si>
    <t>1719922.04</t>
  </si>
  <si>
    <t>North America</t>
  </si>
  <si>
    <t>Mexico</t>
  </si>
  <si>
    <t>11/6/2014</t>
  </si>
  <si>
    <t>986435210</t>
  </si>
  <si>
    <t>12/12/2014</t>
  </si>
  <si>
    <t>6954</t>
  </si>
  <si>
    <t>4647149.58</t>
  </si>
  <si>
    <t>3494663.16</t>
  </si>
  <si>
    <t>1152486.42</t>
  </si>
  <si>
    <t>Laos</t>
  </si>
  <si>
    <t>9/15/2011</t>
  </si>
  <si>
    <t>789176547</t>
  </si>
  <si>
    <t>10/23/2011</t>
  </si>
  <si>
    <t>3732</t>
  </si>
  <si>
    <t>574951.92</t>
  </si>
  <si>
    <t>339350.76</t>
  </si>
  <si>
    <t>235601.16</t>
  </si>
  <si>
    <t>Monaco</t>
  </si>
  <si>
    <t>5/29/2012</t>
  </si>
  <si>
    <t>688288152</t>
  </si>
  <si>
    <t>6/2/2012</t>
  </si>
  <si>
    <t>8614</t>
  </si>
  <si>
    <t>2198981.92</t>
  </si>
  <si>
    <t>1373243.88</t>
  </si>
  <si>
    <t>825738.04</t>
  </si>
  <si>
    <t>Spain</t>
  </si>
  <si>
    <t>10/21/2012</t>
  </si>
  <si>
    <t>213487374</t>
  </si>
  <si>
    <t>11/30/2012</t>
  </si>
  <si>
    <t>4513</t>
  </si>
  <si>
    <t>3015902.51</t>
  </si>
  <si>
    <t>2267963.02</t>
  </si>
  <si>
    <t>747939.49</t>
  </si>
  <si>
    <t>2/17/2012</t>
  </si>
  <si>
    <t>430915820</t>
  </si>
  <si>
    <t>3/20/2012</t>
  </si>
  <si>
    <t>6422</t>
  </si>
  <si>
    <t>524870.06</t>
  </si>
  <si>
    <t>363934.74</t>
  </si>
  <si>
    <t>160935.32</t>
  </si>
  <si>
    <t>1/16/2011</t>
  </si>
  <si>
    <t>180283772</t>
  </si>
  <si>
    <t>1/21/2011</t>
  </si>
  <si>
    <t>8829</t>
  </si>
  <si>
    <t>418936.05</t>
  </si>
  <si>
    <t>280673.91</t>
  </si>
  <si>
    <t>138262.14</t>
  </si>
  <si>
    <t>2/3/2014</t>
  </si>
  <si>
    <t>494747245</t>
  </si>
  <si>
    <t>3/20/2014</t>
  </si>
  <si>
    <t>5559</t>
  </si>
  <si>
    <t>1419101.52</t>
  </si>
  <si>
    <t>886215.78</t>
  </si>
  <si>
    <t>532885.74</t>
  </si>
  <si>
    <t>Kuwait</t>
  </si>
  <si>
    <t>4/30/2012</t>
  </si>
  <si>
    <t>513417565</t>
  </si>
  <si>
    <t>5/18/2012</t>
  </si>
  <si>
    <t>522</t>
  </si>
  <si>
    <t>4870.26</t>
  </si>
  <si>
    <t>3612.24</t>
  </si>
  <si>
    <t>1258.02</t>
  </si>
  <si>
    <t>Slovenia</t>
  </si>
  <si>
    <t>10/23/2016</t>
  </si>
  <si>
    <t>345718562</t>
  </si>
  <si>
    <t>11/25/2016</t>
  </si>
  <si>
    <t>4660</t>
  </si>
  <si>
    <t>221117.00</t>
  </si>
  <si>
    <t>148141.40</t>
  </si>
  <si>
    <t>72975.60</t>
  </si>
  <si>
    <t>12/6/2016</t>
  </si>
  <si>
    <t>621386563</t>
  </si>
  <si>
    <t>12/14/2016</t>
  </si>
  <si>
    <t>948</t>
  </si>
  <si>
    <t>617347.08</t>
  </si>
  <si>
    <t>497662.08</t>
  </si>
  <si>
    <t>119685.00</t>
  </si>
  <si>
    <t>7/7/2014</t>
  </si>
  <si>
    <t>240470397</t>
  </si>
  <si>
    <t>7/11/2014</t>
  </si>
  <si>
    <t>9389</t>
  </si>
  <si>
    <t>445508.05</t>
  </si>
  <si>
    <t>298476.31</t>
  </si>
  <si>
    <t>147031.74</t>
  </si>
  <si>
    <t>6/13/2012</t>
  </si>
  <si>
    <t>423331391</t>
  </si>
  <si>
    <t>7/24/2012</t>
  </si>
  <si>
    <t>2021</t>
  </si>
  <si>
    <t>1316095.41</t>
  </si>
  <si>
    <t>1060944.16</t>
  </si>
  <si>
    <t>255151.25</t>
  </si>
  <si>
    <t>Nicaragua</t>
  </si>
  <si>
    <t>2/8/2011</t>
  </si>
  <si>
    <t>963392674</t>
  </si>
  <si>
    <t>3/21/2011</t>
  </si>
  <si>
    <t>8156</t>
  </si>
  <si>
    <t>387002.20</t>
  </si>
  <si>
    <t>259279.24</t>
  </si>
  <si>
    <t>127722.96</t>
  </si>
  <si>
    <t>7/26/2011</t>
  </si>
  <si>
    <t>512878119</t>
  </si>
  <si>
    <t>9/3/2011</t>
  </si>
  <si>
    <t>888</t>
  </si>
  <si>
    <t>97040.64</t>
  </si>
  <si>
    <t>31825.92</t>
  </si>
  <si>
    <t>65214.72</t>
  </si>
  <si>
    <t>Malaysia</t>
  </si>
  <si>
    <t>11/11/2011</t>
  </si>
  <si>
    <t>810711038</t>
  </si>
  <si>
    <t>12/28/2011</t>
  </si>
  <si>
    <t>6267</t>
  </si>
  <si>
    <t>58471.11</t>
  </si>
  <si>
    <t>43367.64</t>
  </si>
  <si>
    <t>15103.47</t>
  </si>
  <si>
    <t>6/1/2016</t>
  </si>
  <si>
    <t>728815257</t>
  </si>
  <si>
    <t>6/29/2016</t>
  </si>
  <si>
    <t>1485</t>
  </si>
  <si>
    <t>228779.10</t>
  </si>
  <si>
    <t>135031.05</t>
  </si>
  <si>
    <t>93748.05</t>
  </si>
  <si>
    <t>7/30/2015</t>
  </si>
  <si>
    <t>559427106</t>
  </si>
  <si>
    <t>8/8/2015</t>
  </si>
  <si>
    <t>5767</t>
  </si>
  <si>
    <t>471336.91</t>
  </si>
  <si>
    <t>326815.89</t>
  </si>
  <si>
    <t>144521.02</t>
  </si>
  <si>
    <t>Mozambique</t>
  </si>
  <si>
    <t>2/10/2012</t>
  </si>
  <si>
    <t>665095412</t>
  </si>
  <si>
    <t>2/15/2012</t>
  </si>
  <si>
    <t>5367</t>
  </si>
  <si>
    <t>3586605.09</t>
  </si>
  <si>
    <t>2697132.18</t>
  </si>
  <si>
    <t>889472.91</t>
  </si>
  <si>
    <t>Falso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</si>
</sst>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4"/>
      <color theme="9" tint="0.79998168889431442"/>
      <name val="Verdana"/>
      <family val="2"/>
    </font>
    <font>
      <u/>
      <sz val="11"/>
      <color theme="1"/>
      <name val="Calibri"/>
      <family val="2"/>
      <scheme val="minor"/>
    </font>
    <font>
      <u/>
      <sz val="10"/>
      <color theme="10"/>
      <name val="Verdana"/>
      <family val="2"/>
    </font>
    <font>
      <i/>
      <u/>
      <sz val="10"/>
      <color theme="1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009597"/>
        <bgColor indexed="64"/>
      </patternFill>
    </fill>
    <fill>
      <gradientFill degree="90">
        <stop position="0">
          <color rgb="FF009597"/>
        </stop>
        <stop position="1">
          <color theme="1"/>
        </stop>
      </gradient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00959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/>
      </top>
      <bottom style="thin">
        <color theme="0" tint="-0.49998474074526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NumberFormat="1" applyFill="1" applyAlignment="1">
      <alignment horizontal="center" vertical="top" wrapText="1"/>
    </xf>
    <xf numFmtId="0" fontId="0" fillId="0" borderId="1" xfId="0" applyBorder="1"/>
    <xf numFmtId="10" fontId="0" fillId="0" borderId="0" xfId="1" applyNumberFormat="1" applyFont="1"/>
    <xf numFmtId="10" fontId="0" fillId="0" borderId="1" xfId="0" applyNumberFormat="1" applyBorder="1"/>
    <xf numFmtId="9" fontId="3" fillId="0" borderId="0" xfId="0" applyNumberFormat="1" applyFont="1"/>
    <xf numFmtId="0" fontId="5" fillId="0" borderId="0" xfId="2" applyFont="1"/>
    <xf numFmtId="0" fontId="0" fillId="2" borderId="0" xfId="0" applyFill="1" applyAlignment="1">
      <alignment horizontal="center" vertical="center"/>
    </xf>
    <xf numFmtId="9" fontId="2" fillId="4" borderId="2" xfId="0" applyNumberFormat="1" applyFont="1" applyFill="1" applyBorder="1"/>
    <xf numFmtId="9" fontId="2" fillId="4" borderId="3" xfId="0" applyNumberFormat="1" applyFont="1" applyFill="1" applyBorder="1"/>
    <xf numFmtId="9" fontId="2" fillId="4" borderId="4" xfId="0" applyNumberFormat="1" applyFont="1" applyFill="1" applyBorder="1"/>
    <xf numFmtId="9" fontId="2" fillId="4" borderId="5" xfId="0" applyNumberFormat="1" applyFont="1" applyFill="1" applyBorder="1"/>
    <xf numFmtId="9" fontId="2" fillId="4" borderId="6" xfId="0" applyNumberFormat="1" applyFont="1" applyFill="1" applyBorder="1"/>
    <xf numFmtId="9" fontId="2" fillId="4" borderId="7" xfId="0" applyNumberFormat="1" applyFont="1" applyFill="1" applyBorder="1"/>
    <xf numFmtId="9" fontId="2" fillId="4" borderId="8" xfId="0" applyNumberFormat="1" applyFont="1" applyFill="1" applyBorder="1"/>
    <xf numFmtId="9" fontId="2" fillId="4" borderId="9" xfId="0" applyNumberFormat="1" applyFont="1" applyFill="1" applyBorder="1"/>
    <xf numFmtId="9" fontId="2" fillId="4" borderId="10" xfId="0" applyNumberFormat="1" applyFont="1" applyFill="1" applyBorder="1"/>
    <xf numFmtId="0" fontId="0" fillId="6" borderId="0" xfId="0" applyNumberFormat="1" applyFill="1"/>
    <xf numFmtId="0" fontId="0" fillId="5" borderId="0" xfId="0" applyNumberFormat="1" applyFill="1"/>
    <xf numFmtId="0" fontId="0" fillId="5" borderId="0" xfId="0" applyFill="1"/>
    <xf numFmtId="0" fontId="0" fillId="3" borderId="0" xfId="0" applyNumberFormat="1" applyFill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22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color theme="1"/>
      </font>
      <fill>
        <patternFill>
          <bgColor theme="1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numFmt numFmtId="0" formatCode="General"/>
      <fill>
        <patternFill patternType="solid">
          <fgColor theme="1"/>
          <bgColor rgb="FF009597"/>
        </patternFill>
      </fill>
    </dxf>
    <dxf>
      <fill>
        <patternFill patternType="solid">
          <fgColor indexed="64"/>
          <bgColor theme="1"/>
        </patternFill>
      </fill>
    </dxf>
    <dxf>
      <fill>
        <gradientFill degree="90">
          <stop position="0">
            <color rgb="FF009597"/>
          </stop>
          <stop position="1">
            <color theme="1"/>
          </stop>
        </gradientFill>
      </fill>
      <alignment horizontal="center" vertical="center" textRotation="0" wrapText="1" indent="0" justifyLastLine="0" shrinkToFit="0" readingOrder="0"/>
    </dxf>
    <dxf>
      <font>
        <color rgb="FF00FFFF"/>
      </font>
    </dxf>
    <dxf>
      <font>
        <b/>
        <i/>
        <color theme="0"/>
      </font>
      <fill>
        <gradientFill degree="90">
          <stop position="0">
            <color rgb="FF009597"/>
          </stop>
          <stop position="1">
            <color theme="1"/>
          </stop>
        </gradientFill>
      </fill>
    </dxf>
    <dxf>
      <font>
        <b/>
        <i/>
        <color theme="0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tile tabella 1 2" pivot="0" count="3" xr9:uid="{00000000-0011-0000-FFFF-FFFF00000000}">
      <tableStyleElement type="wholeTable" dxfId="21"/>
      <tableStyleElement type="headerRow" dxfId="20"/>
      <tableStyleElement type="secondRowStripe" dxfId="19"/>
    </tableStyle>
  </tableStyles>
  <colors>
    <mruColors>
      <color rgb="FF009597"/>
      <color rgb="FF00FFFF"/>
      <color rgb="FF000000"/>
      <color rgb="FF66FFFF"/>
      <color rgb="FFCD176C"/>
      <color rgb="FFFF6699"/>
      <color rgb="FF006A4E"/>
      <color rgb="FFC2E0B2"/>
      <color rgb="FFA9D18E"/>
      <color rgb="FFFF89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1</xdr:row>
      <xdr:rowOff>153148</xdr:rowOff>
    </xdr:from>
    <xdr:to>
      <xdr:col>22</xdr:col>
      <xdr:colOff>96120</xdr:colOff>
      <xdr:row>28</xdr:row>
      <xdr:rowOff>83820</xdr:rowOff>
    </xdr:to>
    <xdr:sp macro="" textlink="">
      <xdr:nvSpPr>
        <xdr:cNvPr id="2" name="Elaborazione alternativ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5320" y="336028"/>
          <a:ext cx="12852000" cy="4868432"/>
        </a:xfrm>
        <a:prstGeom prst="flowChartAlternateProcess">
          <a:avLst/>
        </a:prstGeom>
        <a:noFill/>
        <a:ln w="76200">
          <a:solidFill>
            <a:srgbClr val="00FFFF"/>
          </a:solidFill>
        </a:ln>
        <a:effectLst>
          <a:glow rad="1905000">
            <a:schemeClr val="tx1">
              <a:alpha val="7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373380</xdr:colOff>
      <xdr:row>3</xdr:row>
      <xdr:rowOff>153284</xdr:rowOff>
    </xdr:from>
    <xdr:to>
      <xdr:col>21</xdr:col>
      <xdr:colOff>421380</xdr:colOff>
      <xdr:row>23</xdr:row>
      <xdr:rowOff>129369</xdr:rowOff>
    </xdr:to>
    <xdr:sp macro="" textlink="">
      <xdr:nvSpPr>
        <xdr:cNvPr id="6" name="Rettangolo arrotonda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82980" y="701924"/>
          <a:ext cx="12240000" cy="363368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  <a:alpha val="0"/>
              </a:schemeClr>
            </a:gs>
            <a:gs pos="98000">
              <a:srgbClr val="009597"/>
            </a:gs>
            <a:gs pos="100000">
              <a:schemeClr val="accent1">
                <a:tint val="23500"/>
                <a:satMod val="160000"/>
              </a:schemeClr>
            </a:gs>
          </a:gsLst>
          <a:path path="shape">
            <a:fillToRect l="50000" t="50000" r="50000" b="50000"/>
          </a:path>
          <a:tileRect/>
        </a:gradFill>
        <a:ln>
          <a:noFill/>
        </a:ln>
        <a:effectLst>
          <a:glow rad="228600">
            <a:srgbClr val="00FFFF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it-IT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34290</xdr:colOff>
      <xdr:row>24</xdr:row>
      <xdr:rowOff>47892</xdr:rowOff>
    </xdr:from>
    <xdr:to>
      <xdr:col>14</xdr:col>
      <xdr:colOff>533400</xdr:colOff>
      <xdr:row>27</xdr:row>
      <xdr:rowOff>111405</xdr:rowOff>
    </xdr:to>
    <xdr:grpSp>
      <xdr:nvGrpSpPr>
        <xdr:cNvPr id="15" name="Grupp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520690" y="4437012"/>
          <a:ext cx="3547110" cy="612153"/>
          <a:chOff x="5349240" y="4591317"/>
          <a:chExt cx="3451860" cy="635013"/>
        </a:xfrm>
      </xdr:grpSpPr>
      <xdr:pic>
        <xdr:nvPicPr>
          <xdr:cNvPr id="16" name="Immagin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76875" y="4795064"/>
            <a:ext cx="285712" cy="306274"/>
          </a:xfrm>
          <a:prstGeom prst="rect">
            <a:avLst/>
          </a:prstGeom>
          <a:effectLst>
            <a:glow rad="254000">
              <a:schemeClr val="tx1">
                <a:lumMod val="95000"/>
                <a:lumOff val="5000"/>
                <a:alpha val="60000"/>
              </a:schemeClr>
            </a:glow>
          </a:effec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CommandButton1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00000000-0008-0000-0000-000008100000}"/>
                  </a:ext>
                </a:extLst>
              </xdr:cNvPr>
              <xdr:cNvSpPr/>
            </xdr:nvSpPr>
            <xdr:spPr bwMode="auto">
              <a:xfrm>
                <a:off x="5379720" y="4638590"/>
                <a:ext cx="3383280" cy="5574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4" name="Rettangolo arrotondat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5349240" y="4591317"/>
            <a:ext cx="3451860" cy="606790"/>
          </a:xfrm>
          <a:prstGeom prst="roundRect">
            <a:avLst/>
          </a:prstGeom>
          <a:noFill/>
          <a:ln w="28575">
            <a:solidFill>
              <a:schemeClr val="tx1"/>
            </a:solidFill>
          </a:ln>
          <a:effectLst>
            <a:glow rad="152400">
              <a:schemeClr val="tx1">
                <a:alpha val="60000"/>
              </a:scheme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22" name="Rettangolo arrotondat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5356860" y="4619540"/>
            <a:ext cx="3413760" cy="606790"/>
          </a:xfrm>
          <a:prstGeom prst="roundRect">
            <a:avLst/>
          </a:prstGeom>
          <a:noFill/>
          <a:ln w="28575">
            <a:solidFill>
              <a:srgbClr val="00FFFF"/>
            </a:solidFill>
          </a:ln>
          <a:effectLst>
            <a:glow rad="317500">
              <a:srgbClr val="00FFFF">
                <a:alpha val="40000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3</xdr:col>
      <xdr:colOff>601980</xdr:colOff>
      <xdr:row>13</xdr:row>
      <xdr:rowOff>65751</xdr:rowOff>
    </xdr:from>
    <xdr:to>
      <xdr:col>5</xdr:col>
      <xdr:colOff>601980</xdr:colOff>
      <xdr:row>19</xdr:row>
      <xdr:rowOff>163236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2430780" y="2443191"/>
          <a:ext cx="1219200" cy="1194765"/>
          <a:chOff x="2430780" y="2443191"/>
          <a:chExt cx="1219200" cy="1194765"/>
        </a:xfrm>
      </xdr:grpSpPr>
      <xdr:pic>
        <xdr:nvPicPr>
          <xdr:cNvPr id="4097" name="Immagine 4096">
            <a:extLst>
              <a:ext uri="{FF2B5EF4-FFF2-40B4-BE49-F238E27FC236}">
                <a16:creationId xmlns:a16="http://schemas.microsoft.com/office/drawing/2014/main" id="{00000000-0008-0000-0000-0000011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prstClr val="black"/>
              <a:srgbClr val="00FFFF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30780" y="2443191"/>
            <a:ext cx="1219200" cy="1194765"/>
          </a:xfrm>
          <a:prstGeom prst="rect">
            <a:avLst/>
          </a:prstGeom>
          <a:effectLst>
            <a:glow rad="101600">
              <a:schemeClr val="tx1">
                <a:alpha val="80000"/>
              </a:schemeClr>
            </a:glow>
          </a:effectLst>
        </xdr:spPr>
      </xdr:pic>
      <xdr:pic>
        <xdr:nvPicPr>
          <xdr:cNvPr id="21" name="Immagin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30880" y="2855435"/>
            <a:ext cx="324000" cy="317506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2</xdr:col>
      <xdr:colOff>167640</xdr:colOff>
      <xdr:row>12</xdr:row>
      <xdr:rowOff>160093</xdr:rowOff>
    </xdr:from>
    <xdr:to>
      <xdr:col>20</xdr:col>
      <xdr:colOff>318841</xdr:colOff>
      <xdr:row>20</xdr:row>
      <xdr:rowOff>108369</xdr:rowOff>
    </xdr:to>
    <xdr:grpSp>
      <xdr:nvGrpSpPr>
        <xdr:cNvPr id="24" name="Grupp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1386840" y="2354653"/>
          <a:ext cx="11124001" cy="1411316"/>
          <a:chOff x="1409699" y="1013460"/>
          <a:chExt cx="11577601" cy="1440180"/>
        </a:xfrm>
      </xdr:grpSpPr>
      <xdr:sp macro="" textlink="File!A2">
        <xdr:nvSpPr>
          <xdr:cNvPr id="9" name="Rettangolo arrotondat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5067300" y="1013460"/>
            <a:ext cx="7920000" cy="1440000"/>
          </a:xfrm>
          <a:prstGeom prst="roundRect">
            <a:avLst/>
          </a:prstGeom>
          <a:gradFill flip="none" rotWithShape="1">
            <a:gsLst>
              <a:gs pos="91000">
                <a:schemeClr val="accent1">
                  <a:tint val="66000"/>
                  <a:satMod val="160000"/>
                  <a:alpha val="0"/>
                </a:schemeClr>
              </a:gs>
              <a:gs pos="97000">
                <a:srgbClr val="009597"/>
              </a:gs>
              <a:gs pos="100000">
                <a:schemeClr val="tx1"/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  <a:effectLst>
            <a:glow rad="228600">
              <a:srgbClr val="00FFFF">
                <a:alpha val="40000"/>
              </a:srgbClr>
            </a:glow>
            <a:softEdge rad="3175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6C2A062-768C-4202-9F04-C17B500A2FB7}" type="TxLink">
              <a:rPr lang="en-US" sz="1600" b="1" u="sng">
                <a:solidFill>
                  <a:schemeClr val="bg1"/>
                </a:solidFill>
                <a:latin typeface="+mn-lt"/>
                <a:ea typeface="+mn-ea"/>
                <a:cs typeface="+mn-cs"/>
              </a:rPr>
              <a:pPr marL="0" indent="0" algn="ctr"/>
              <a:t>Falso</a:t>
            </a:fld>
            <a:endParaRPr lang="it-IT" sz="1600" b="1" u="sng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0" name="Grupp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1409699" y="1013460"/>
            <a:ext cx="3413761" cy="1440180"/>
            <a:chOff x="1280159" y="1005840"/>
            <a:chExt cx="3413761" cy="144018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01" name="cbBrowseFile" hidden="1">
                  <a:extLst>
                    <a:ext uri="{63B3BB69-23CF-44E3-9099-C40C66FF867C}">
                      <a14:compatExt spid="_x0000_s4101"/>
                    </a:ext>
                    <a:ext uri="{FF2B5EF4-FFF2-40B4-BE49-F238E27FC236}">
                      <a16:creationId xmlns:a16="http://schemas.microsoft.com/office/drawing/2014/main" id="{00000000-0008-0000-0000-000005100000}"/>
                    </a:ext>
                  </a:extLst>
                </xdr:cNvPr>
                <xdr:cNvSpPr/>
              </xdr:nvSpPr>
              <xdr:spPr bwMode="auto">
                <a:xfrm>
                  <a:off x="1280159" y="1021080"/>
                  <a:ext cx="3384000" cy="1409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11" name="Rettangol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1287780" y="1005840"/>
              <a:ext cx="3406140" cy="1440180"/>
            </a:xfrm>
            <a:prstGeom prst="rect">
              <a:avLst/>
            </a:prstGeom>
            <a:noFill/>
            <a:ln w="76200">
              <a:solidFill>
                <a:srgbClr val="00FFFF"/>
              </a:solidFill>
            </a:ln>
            <a:effectLst>
              <a:glow rad="355600">
                <a:schemeClr val="tx1">
                  <a:alpha val="40000"/>
                </a:schemeClr>
              </a:glo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</xdr:grpSp>
    </xdr:grpSp>
    <xdr:clientData/>
  </xdr:twoCellAnchor>
  <xdr:twoCellAnchor>
    <xdr:from>
      <xdr:col>12</xdr:col>
      <xdr:colOff>312420</xdr:colOff>
      <xdr:row>12</xdr:row>
      <xdr:rowOff>27341</xdr:rowOff>
    </xdr:from>
    <xdr:to>
      <xdr:col>14</xdr:col>
      <xdr:colOff>338667</xdr:colOff>
      <xdr:row>14</xdr:row>
      <xdr:rowOff>14366</xdr:rowOff>
    </xdr:to>
    <xdr:sp macro="" textlink="">
      <xdr:nvSpPr>
        <xdr:cNvPr id="13" name="Rettangol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627620" y="2221901"/>
          <a:ext cx="1245447" cy="352785"/>
        </a:xfrm>
        <a:prstGeom prst="rect">
          <a:avLst/>
        </a:prstGeom>
        <a:noFill/>
        <a:ln>
          <a:noFill/>
        </a:ln>
        <a:effectLst>
          <a:softEdge rad="3175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it-IT" sz="1600" b="1" i="0" u="none" strike="noStrike">
              <a:solidFill>
                <a:schemeClr val="bg1"/>
              </a:solidFill>
              <a:effectLst>
                <a:glow rad="508000">
                  <a:schemeClr val="tx1">
                    <a:alpha val="50000"/>
                  </a:schemeClr>
                </a:glow>
              </a:effectLst>
              <a:latin typeface="Calibri"/>
              <a:ea typeface="+mn-ea"/>
              <a:cs typeface="Calibri"/>
            </a:rPr>
            <a:t>Delimiter</a:t>
          </a:r>
        </a:p>
      </xdr:txBody>
    </xdr:sp>
    <xdr:clientData/>
  </xdr:twoCellAnchor>
  <xdr:twoCellAnchor>
    <xdr:from>
      <xdr:col>14</xdr:col>
      <xdr:colOff>198120</xdr:colOff>
      <xdr:row>11</xdr:row>
      <xdr:rowOff>167640</xdr:rowOff>
    </xdr:from>
    <xdr:to>
      <xdr:col>16</xdr:col>
      <xdr:colOff>94920</xdr:colOff>
      <xdr:row>14</xdr:row>
      <xdr:rowOff>87000</xdr:rowOff>
    </xdr:to>
    <xdr:sp macro="" textlink="">
      <xdr:nvSpPr>
        <xdr:cNvPr id="26" name="Rettangolo arrotonda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8732520" y="2179320"/>
          <a:ext cx="1116000" cy="468000"/>
        </a:xfrm>
        <a:prstGeom prst="roundRect">
          <a:avLst/>
        </a:prstGeom>
        <a:gradFill flip="none" rotWithShape="1">
          <a:gsLst>
            <a:gs pos="62000">
              <a:schemeClr val="accent1">
                <a:tint val="66000"/>
                <a:satMod val="160000"/>
                <a:alpha val="0"/>
              </a:schemeClr>
            </a:gs>
            <a:gs pos="74000">
              <a:srgbClr val="009597"/>
            </a:gs>
            <a:gs pos="100000">
              <a:schemeClr val="tx1"/>
            </a:gs>
          </a:gsLst>
          <a:path path="shape">
            <a:fillToRect l="50000" t="50000" r="50000" b="50000"/>
          </a:path>
          <a:tileRect/>
        </a:gradFill>
        <a:ln>
          <a:noFill/>
        </a:ln>
        <a:effectLst>
          <a:glow rad="228600">
            <a:srgbClr val="00FFFF">
              <a:alpha val="40000"/>
            </a:srgbClr>
          </a:glow>
          <a:softEdge rad="3175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1600" b="1" i="0" u="sng" strike="noStrik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12</xdr:row>
          <xdr:rowOff>45720</xdr:rowOff>
        </xdr:from>
        <xdr:to>
          <xdr:col>15</xdr:col>
          <xdr:colOff>571500</xdr:colOff>
          <xdr:row>14</xdr:row>
          <xdr:rowOff>0</xdr:rowOff>
        </xdr:to>
        <xdr:sp macro="" textlink="">
          <xdr:nvSpPr>
            <xdr:cNvPr id="4105" name="cbDelimiter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426720</xdr:colOff>
      <xdr:row>4</xdr:row>
      <xdr:rowOff>7620</xdr:rowOff>
    </xdr:from>
    <xdr:to>
      <xdr:col>18</xdr:col>
      <xdr:colOff>99060</xdr:colOff>
      <xdr:row>9</xdr:row>
      <xdr:rowOff>129540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74720" y="739140"/>
          <a:ext cx="7597140" cy="1036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>
              <a:effectLst>
                <a:glow rad="317500">
                  <a:srgbClr val="000000">
                    <a:alpha val="60000"/>
                  </a:srgbClr>
                </a:glow>
              </a:effectLst>
            </a:rPr>
            <a:t>Source Management</a:t>
          </a:r>
        </a:p>
      </xdr:txBody>
    </xdr:sp>
    <xdr:clientData/>
  </xdr:twoCellAnchor>
  <xdr:twoCellAnchor>
    <xdr:from>
      <xdr:col>2</xdr:col>
      <xdr:colOff>152399</xdr:colOff>
      <xdr:row>25</xdr:row>
      <xdr:rowOff>114300</xdr:rowOff>
    </xdr:from>
    <xdr:to>
      <xdr:col>6</xdr:col>
      <xdr:colOff>409574</xdr:colOff>
      <xdr:row>27</xdr:row>
      <xdr:rowOff>99060</xdr:rowOff>
    </xdr:to>
    <xdr:grpSp>
      <xdr:nvGrpSpPr>
        <xdr:cNvPr id="27" name="Grupp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371599" y="4686300"/>
          <a:ext cx="2695575" cy="350520"/>
          <a:chOff x="1181100" y="4747260"/>
          <a:chExt cx="2300040" cy="350520"/>
        </a:xfrm>
      </xdr:grpSpPr>
      <xdr:pic>
        <xdr:nvPicPr>
          <xdr:cNvPr id="28" name="Immagin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1100" y="4747260"/>
            <a:ext cx="288000" cy="288000"/>
          </a:xfrm>
          <a:prstGeom prst="rect">
            <a:avLst/>
          </a:prstGeom>
          <a:effectLst>
            <a:glow rad="101600">
              <a:srgbClr val="00FFFF">
                <a:alpha val="60000"/>
              </a:srgbClr>
            </a:glow>
          </a:effectLst>
        </xdr:spPr>
      </xdr:pic>
      <xdr:sp macro="" textlink="">
        <xdr:nvSpPr>
          <xdr:cNvPr id="29" name="Rettangolo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501140" y="4747260"/>
            <a:ext cx="1980000" cy="3505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400">
              <a:solidFill>
                <a:srgbClr val="00FFFF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2205</xdr:rowOff>
    </xdr:from>
    <xdr:to>
      <xdr:col>14</xdr:col>
      <xdr:colOff>15240</xdr:colOff>
      <xdr:row>1</xdr:row>
      <xdr:rowOff>22860</xdr:rowOff>
    </xdr:to>
    <xdr:sp macro="" textlink="">
      <xdr:nvSpPr>
        <xdr:cNvPr id="11" name="Rettango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10800000" flipV="1">
          <a:off x="0" y="2205"/>
          <a:ext cx="16771620" cy="1422735"/>
        </a:xfrm>
        <a:prstGeom prst="rect">
          <a:avLst/>
        </a:prstGeom>
        <a:gradFill flip="none" rotWithShape="1">
          <a:gsLst>
            <a:gs pos="14000">
              <a:srgbClr val="009597"/>
            </a:gs>
            <a:gs pos="1000">
              <a:schemeClr val="accent1">
                <a:lumMod val="5000"/>
                <a:lumOff val="95000"/>
              </a:schemeClr>
            </a:gs>
            <a:gs pos="58000">
              <a:schemeClr val="tx1">
                <a:alpha val="7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00000">
                  <a:schemeClr val="tx1">
                    <a:alpha val="0"/>
                  </a:schemeClr>
                </a:gs>
              </a:gsLst>
              <a:path path="shape">
                <a:fillToRect l="50000" t="50000" r="50000" b="50000"/>
              </a:path>
            </a:gradFill>
          </a:endParaRPr>
        </a:p>
      </xdr:txBody>
    </xdr:sp>
    <xdr:clientData/>
  </xdr:twoCellAnchor>
  <xdr:twoCellAnchor editAs="absolute">
    <xdr:from>
      <xdr:col>1</xdr:col>
      <xdr:colOff>358140</xdr:colOff>
      <xdr:row>0</xdr:row>
      <xdr:rowOff>228600</xdr:rowOff>
    </xdr:from>
    <xdr:to>
      <xdr:col>8</xdr:col>
      <xdr:colOff>129540</xdr:colOff>
      <xdr:row>0</xdr:row>
      <xdr:rowOff>1164600</xdr:rowOff>
    </xdr:to>
    <xdr:sp macro="" textlink="">
      <xdr:nvSpPr>
        <xdr:cNvPr id="5" name="Rettangolo arrotonda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522220" y="228600"/>
          <a:ext cx="8161020" cy="93600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  <a:alpha val="0"/>
              </a:schemeClr>
            </a:gs>
            <a:gs pos="98000">
              <a:srgbClr val="009597"/>
            </a:gs>
            <a:gs pos="100000">
              <a:schemeClr val="accent1">
                <a:tint val="23500"/>
                <a:satMod val="160000"/>
              </a:schemeClr>
            </a:gs>
          </a:gsLst>
          <a:path path="shape">
            <a:fillToRect l="50000" t="50000" r="50000" b="50000"/>
          </a:path>
          <a:tileRect/>
        </a:gradFill>
        <a:ln>
          <a:noFill/>
        </a:ln>
        <a:effectLst>
          <a:glow rad="228600">
            <a:srgbClr val="00FFFF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it-IT" sz="5400">
              <a:solidFill>
                <a:schemeClr val="lt1"/>
              </a:solidFill>
              <a:effectLst>
                <a:glow rad="304800">
                  <a:schemeClr val="tx1">
                    <a:alpha val="60000"/>
                  </a:schemeClr>
                </a:glow>
              </a:effectLst>
              <a:latin typeface="+mn-lt"/>
              <a:ea typeface="+mn-ea"/>
              <a:cs typeface="+mn-cs"/>
            </a:rPr>
            <a:t>Report Title</a:t>
          </a:r>
        </a:p>
      </xdr:txBody>
    </xdr:sp>
    <xdr:clientData/>
  </xdr:twoCellAnchor>
  <xdr:twoCellAnchor editAs="absolute">
    <xdr:from>
      <xdr:col>8</xdr:col>
      <xdr:colOff>499518</xdr:colOff>
      <xdr:row>0</xdr:row>
      <xdr:rowOff>60960</xdr:rowOff>
    </xdr:from>
    <xdr:to>
      <xdr:col>11</xdr:col>
      <xdr:colOff>693420</xdr:colOff>
      <xdr:row>0</xdr:row>
      <xdr:rowOff>1312020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1048985" y="60960"/>
          <a:ext cx="3089502" cy="1251060"/>
          <a:chOff x="67595" y="871537"/>
          <a:chExt cx="3198976" cy="1761560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7" name="Immagine 6">
                <a:extLst>
                  <a:ext uri="{FF2B5EF4-FFF2-40B4-BE49-F238E27FC236}">
                    <a16:creationId xmlns:a16="http://schemas.microsoft.com/office/drawing/2014/main" id="{00000000-0008-0000-0100-00000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oglio2!$C$4:$L$13" spid="_x0000_s5147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 rot="21267073">
                <a:off x="67595" y="968458"/>
                <a:ext cx="1341922" cy="1438000"/>
              </a:xfrm>
              <a:prstGeom prst="rect">
                <a:avLst/>
              </a:prstGeom>
              <a:ln>
                <a:noFill/>
              </a:ln>
              <a:effectLst>
                <a:outerShdw blurRad="292100" dist="139700" dir="2700000" algn="tl" rotWithShape="0">
                  <a:srgbClr val="333333">
                    <a:alpha val="65000"/>
                  </a:srgbClr>
                </a:outerShdw>
              </a:effectLst>
              <a:scene3d>
                <a:camera prst="isometricRightUp">
                  <a:rot lat="900000" lon="20399999" rev="0"/>
                </a:camera>
                <a:lightRig rig="threePt" dir="t"/>
              </a:scene3d>
              <a:sp3d>
                <a:bevelT/>
              </a:sp3d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Foglio2!O1">
        <xdr:nvSpPr>
          <xdr:cNvPr id="8" name="Rettangol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503030" y="1913097"/>
            <a:ext cx="1745231" cy="720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0C9DA18-EE2F-44D5-AC46-CA6B509A749A}" type="TxLink">
              <a:rPr lang="en-US" sz="2800" b="1" i="0" u="none" strike="noStrike">
                <a:solidFill>
                  <a:schemeClr val="tx1"/>
                </a:solidFill>
                <a:effectLst>
                  <a:glow rad="254000">
                    <a:schemeClr val="bg1">
                      <a:alpha val="60000"/>
                    </a:schemeClr>
                  </a:glow>
                </a:effectLst>
                <a:latin typeface="Calibri"/>
                <a:cs typeface="Calibri"/>
              </a:rPr>
              <a:pPr algn="ctr"/>
              <a:t>0.00%</a:t>
            </a:fld>
            <a:endParaRPr lang="it-IT" sz="7200" b="1">
              <a:solidFill>
                <a:schemeClr val="tx1"/>
              </a:solidFill>
              <a:effectLst>
                <a:glow rad="254000">
                  <a:schemeClr val="bg1">
                    <a:alpha val="60000"/>
                  </a:schemeClr>
                </a:glow>
              </a:effectLst>
            </a:endParaRPr>
          </a:p>
        </xdr:txBody>
      </xdr:sp>
      <xdr:sp macro="" textlink="B1">
        <xdr:nvSpPr>
          <xdr:cNvPr id="9" name="Rettango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503030" y="1286854"/>
            <a:ext cx="1745231" cy="720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F01B3C6-739E-467A-A23F-8EADC730A721}" type="TxLink">
              <a:rPr lang="en-US" sz="2800" b="1" i="0" u="none" strike="noStrike">
                <a:solidFill>
                  <a:srgbClr val="00FFFF"/>
                </a:solidFill>
                <a:effectLst>
                  <a:glow rad="254000">
                    <a:schemeClr val="tx1">
                      <a:alpha val="60000"/>
                    </a:schemeClr>
                  </a:glow>
                </a:effectLst>
                <a:latin typeface="Calibri"/>
                <a:cs typeface="Calibri"/>
              </a:rPr>
              <a:pPr algn="ctr"/>
              <a:t>0</a:t>
            </a:fld>
            <a:endParaRPr lang="it-IT" sz="7200" b="1" i="0">
              <a:solidFill>
                <a:srgbClr val="00FFFF"/>
              </a:solidFill>
              <a:effectLst>
                <a:glow rad="254000">
                  <a:schemeClr val="tx1">
                    <a:alpha val="60000"/>
                  </a:schemeClr>
                </a:glow>
              </a:effectLst>
            </a:endParaRPr>
          </a:p>
        </xdr:txBody>
      </xdr:sp>
      <xdr:sp macro="" textlink="">
        <xdr:nvSpPr>
          <xdr:cNvPr id="10" name="Rettangol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595438" y="871537"/>
            <a:ext cx="1671133" cy="45063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800" b="1">
                <a:solidFill>
                  <a:schemeClr val="bg1"/>
                </a:solidFill>
                <a:effectLst>
                  <a:glow rad="342900">
                    <a:schemeClr val="tx1">
                      <a:alpha val="60000"/>
                    </a:schemeClr>
                  </a:glow>
                </a:effectLst>
              </a:rPr>
              <a:t>Selected Rows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210553</xdr:colOff>
      <xdr:row>1</xdr:row>
      <xdr:rowOff>145382</xdr:rowOff>
    </xdr:from>
    <xdr:ext cx="184731" cy="264560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885173" y="32826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7</xdr:row>
          <xdr:rowOff>152400</xdr:rowOff>
        </xdr:from>
        <xdr:to>
          <xdr:col>19</xdr:col>
          <xdr:colOff>57150</xdr:colOff>
          <xdr:row>19</xdr:row>
          <xdr:rowOff>152400</xdr:rowOff>
        </xdr:to>
        <xdr:pic>
          <xdr:nvPicPr>
            <xdr:cNvPr id="3" name="Immagin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4:$N$15" spid="_x0000_s71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22800" y="1441450"/>
              <a:ext cx="2133600" cy="2209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" xr16:uid="{00000000-0016-0000-0100-000000000000}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Region" tableColumnId="117"/>
      <queryTableField id="2" name="Country" tableColumnId="118"/>
      <queryTableField id="3" name="Item Type" tableColumnId="119"/>
      <queryTableField id="4" name="Sales Channel" tableColumnId="120"/>
      <queryTableField id="5" name="Order Priority" tableColumnId="121"/>
      <queryTableField id="6" name="Order Date" tableColumnId="122"/>
      <queryTableField id="7" name="Order ID" tableColumnId="123"/>
      <queryTableField id="8" name="Ship Date" tableColumnId="124"/>
      <queryTableField id="9" name="Units Sold" tableColumnId="125"/>
      <queryTableField id="10" name="Unit Price" tableColumnId="126"/>
      <queryTableField id="11" name="Unit Cost" tableColumnId="127"/>
      <queryTableField id="12" name="Total Revenue" tableColumnId="128"/>
      <queryTableField id="13" name="Total Cost" tableColumnId="129"/>
      <queryTableField id="14" name="Total Profit" tableColumnId="1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Source" displayName="Source" ref="A2:N102" tableType="queryTable" totalsRowShown="0" headerRowDxfId="18" dataDxfId="17">
  <autoFilter ref="A2:N102" xr:uid="{00000000-0009-0000-0100-000007000000}">
    <filterColumn colId="3">
      <filters>
        <filter val="Online"/>
      </filters>
    </filterColumn>
    <filterColumn colId="4">
      <filters>
        <filter val="C"/>
        <filter val="H"/>
        <filter val="L"/>
      </filters>
    </filterColumn>
  </autoFilter>
  <tableColumns count="14">
    <tableColumn id="117" xr3:uid="{00000000-0010-0000-0000-000075000000}" uniqueName="117" name="Region" queryTableFieldId="1" dataDxfId="16"/>
    <tableColumn id="118" xr3:uid="{00000000-0010-0000-0000-000076000000}" uniqueName="118" name="Country" queryTableFieldId="2" dataDxfId="15"/>
    <tableColumn id="119" xr3:uid="{00000000-0010-0000-0000-000077000000}" uniqueName="119" name="Item Type" queryTableFieldId="3" dataDxfId="14"/>
    <tableColumn id="120" xr3:uid="{00000000-0010-0000-0000-000078000000}" uniqueName="120" name="Sales Channel" queryTableFieldId="4" dataDxfId="13"/>
    <tableColumn id="121" xr3:uid="{00000000-0010-0000-0000-000079000000}" uniqueName="121" name="Order Priority" queryTableFieldId="5" dataDxfId="12"/>
    <tableColumn id="122" xr3:uid="{00000000-0010-0000-0000-00007A000000}" uniqueName="122" name="Order Date" queryTableFieldId="6" dataDxfId="11"/>
    <tableColumn id="123" xr3:uid="{00000000-0010-0000-0000-00007B000000}" uniqueName="123" name="Order ID" queryTableFieldId="7" dataDxfId="10"/>
    <tableColumn id="124" xr3:uid="{00000000-0010-0000-0000-00007C000000}" uniqueName="124" name="Ship Date" queryTableFieldId="8" dataDxfId="9"/>
    <tableColumn id="125" xr3:uid="{00000000-0010-0000-0000-00007D000000}" uniqueName="125" name="Units Sold" queryTableFieldId="9" dataDxfId="8"/>
    <tableColumn id="126" xr3:uid="{00000000-0010-0000-0000-00007E000000}" uniqueName="126" name="Unit Price" queryTableFieldId="10" dataDxfId="7"/>
    <tableColumn id="127" xr3:uid="{00000000-0010-0000-0000-00007F000000}" uniqueName="127" name="Unit Cost" queryTableFieldId="11" dataDxfId="6"/>
    <tableColumn id="128" xr3:uid="{00000000-0010-0000-0000-000080000000}" uniqueName="128" name="Total Revenue" queryTableFieldId="12" dataDxfId="5"/>
    <tableColumn id="129" xr3:uid="{00000000-0010-0000-0000-000081000000}" uniqueName="129" name="Total Cost" queryTableFieldId="13" dataDxfId="4"/>
    <tableColumn id="130" xr3:uid="{00000000-0010-0000-0000-000082000000}" uniqueName="130" name="Total Profit" queryTableFieldId="14" dataDxfId="3"/>
  </tableColumns>
  <tableStyleInfo name="Stile tabella 1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FileName" displayName="FileName" ref="A1:A2" totalsRowShown="0" dataDxfId="1">
  <autoFilter ref="A1:A2" xr:uid="{00000000-0009-0000-0100-000001000000}"/>
  <tableColumns count="1">
    <tableColumn id="1" xr3:uid="{00000000-0010-0000-0100-000001000000}" name="FullPathNam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Delimiter" displayName="TabDelimiter" ref="C1:C6" totalsRowShown="0">
  <autoFilter ref="C1:C6" xr:uid="{00000000-0009-0000-0100-000002000000}"/>
  <tableColumns count="1">
    <tableColumn id="1" xr3:uid="{00000000-0010-0000-0200-000001000000}" name="ListDelimit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DelimiterSelected" displayName="TabDelimiterSelected" ref="E1:E2" totalsRowShown="0">
  <autoFilter ref="E1:E2" xr:uid="{00000000-0009-0000-0100-000003000000}"/>
  <tableColumns count="1">
    <tableColumn id="1" xr3:uid="{00000000-0010-0000-0300-000001000000}" name="DelimiterSelect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Blu verde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>
    <tabColor rgb="FF00FFFF"/>
  </sheetPr>
  <dimension ref="AY105"/>
  <sheetViews>
    <sheetView showGridLines="0" tabSelected="1" zoomScaleNormal="100" workbookViewId="0">
      <selection activeCell="AU129" sqref="AU129"/>
    </sheetView>
  </sheetViews>
  <sheetFormatPr defaultColWidth="8.88671875" defaultRowHeight="14.4" x14ac:dyDescent="0.3"/>
  <cols>
    <col min="1" max="25" width="8.88671875" style="2"/>
    <col min="26" max="26" width="15.33203125" style="2" bestFit="1" customWidth="1"/>
    <col min="27" max="16384" width="8.88671875" style="2"/>
  </cols>
  <sheetData>
    <row r="105" spans="51:51" x14ac:dyDescent="0.3">
      <c r="AY105" s="2" t="s">
        <v>1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101" r:id="rId4" name="cbBrowseFile">
          <controlPr defaultSize="0" autoLine="0" r:id="rId5">
            <anchor moveWithCells="1">
              <from>
                <xdr:col>2</xdr:col>
                <xdr:colOff>213360</xdr:colOff>
                <xdr:row>12</xdr:row>
                <xdr:rowOff>83820</xdr:rowOff>
              </from>
              <to>
                <xdr:col>7</xdr:col>
                <xdr:colOff>411480</xdr:colOff>
                <xdr:row>20</xdr:row>
                <xdr:rowOff>0</xdr:rowOff>
              </to>
            </anchor>
          </controlPr>
        </control>
      </mc:Choice>
      <mc:Fallback>
        <control shapeId="4101" r:id="rId4" name="cbBrowseFile"/>
      </mc:Fallback>
    </mc:AlternateContent>
    <mc:AlternateContent xmlns:mc="http://schemas.openxmlformats.org/markup-compatibility/2006">
      <mc:Choice Requires="x14">
        <control shapeId="4104" r:id="rId6" name="CommandButton1">
          <controlPr defaultSize="0" disabled="1" autoLine="0" autoPict="0" r:id="rId7">
            <anchor moveWithCells="1">
              <from>
                <xdr:col>9</xdr:col>
                <xdr:colOff>68580</xdr:colOff>
                <xdr:row>24</xdr:row>
                <xdr:rowOff>91440</xdr:rowOff>
              </from>
              <to>
                <xdr:col>14</xdr:col>
                <xdr:colOff>495300</xdr:colOff>
                <xdr:row>27</xdr:row>
                <xdr:rowOff>83820</xdr:rowOff>
              </to>
            </anchor>
          </controlPr>
        </control>
      </mc:Choice>
      <mc:Fallback>
        <control shapeId="4104" r:id="rId6" name="CommandButton1"/>
      </mc:Fallback>
    </mc:AlternateContent>
    <mc:AlternateContent xmlns:mc="http://schemas.openxmlformats.org/markup-compatibility/2006">
      <mc:Choice Requires="x14">
        <control shapeId="4105" r:id="rId8" name="cbDelimiter">
          <controlPr defaultSize="0" autoFill="0" autoLine="0" linkedCell="File!E2" listFillRange="File!C2:C7" r:id="rId9">
            <anchor moveWithCells="1">
              <from>
                <xdr:col>14</xdr:col>
                <xdr:colOff>342900</xdr:colOff>
                <xdr:row>12</xdr:row>
                <xdr:rowOff>45720</xdr:rowOff>
              </from>
              <to>
                <xdr:col>15</xdr:col>
                <xdr:colOff>556260</xdr:colOff>
                <xdr:row>14</xdr:row>
                <xdr:rowOff>15240</xdr:rowOff>
              </to>
            </anchor>
          </controlPr>
        </control>
      </mc:Choice>
      <mc:Fallback>
        <control shapeId="4105" r:id="rId8" name="cbDelimit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>
    <tabColor theme="1"/>
  </sheetPr>
  <dimension ref="A1:AJT102"/>
  <sheetViews>
    <sheetView zoomScale="90" zoomScaleNormal="90" workbookViewId="0">
      <selection activeCell="A4" sqref="A4:N96"/>
    </sheetView>
  </sheetViews>
  <sheetFormatPr defaultColWidth="8.88671875" defaultRowHeight="14.4" x14ac:dyDescent="0.3"/>
  <cols>
    <col min="1" max="1" width="31.5546875" style="21" customWidth="1"/>
    <col min="2" max="2" width="30.44140625" style="21" bestFit="1" customWidth="1"/>
    <col min="3" max="3" width="14.33203125" style="21" customWidth="1"/>
    <col min="4" max="4" width="17.6640625" style="21" customWidth="1"/>
    <col min="5" max="5" width="17.33203125" style="21" customWidth="1"/>
    <col min="6" max="6" width="15.33203125" style="21" customWidth="1"/>
    <col min="7" max="7" width="13.109375" style="21" customWidth="1"/>
    <col min="8" max="8" width="14.109375" style="21" customWidth="1"/>
    <col min="9" max="9" width="14.44140625" style="21" customWidth="1"/>
    <col min="10" max="10" width="14.109375" style="21" customWidth="1"/>
    <col min="11" max="11" width="13.6640625" style="21" customWidth="1"/>
    <col min="12" max="12" width="18.33203125" style="21" customWidth="1"/>
    <col min="13" max="13" width="14.44140625" style="21" customWidth="1"/>
    <col min="14" max="14" width="15.5546875" style="21" customWidth="1"/>
    <col min="15" max="15" width="14.44140625" style="21" customWidth="1"/>
    <col min="16" max="16" width="14.109375" style="21" customWidth="1"/>
    <col min="17" max="17" width="14.33203125" style="21" customWidth="1"/>
    <col min="18" max="18" width="14.109375" style="21" customWidth="1"/>
    <col min="19" max="19" width="12" style="21" customWidth="1"/>
    <col min="20" max="21" width="11.6640625" style="21" customWidth="1"/>
    <col min="22" max="22" width="13.6640625" style="21" customWidth="1"/>
    <col min="23" max="23" width="12.6640625" style="21" customWidth="1"/>
    <col min="24" max="24" width="11.6640625" style="21" customWidth="1"/>
    <col min="25" max="25" width="13" style="21" customWidth="1"/>
    <col min="26" max="26" width="12.5546875" style="21" customWidth="1"/>
    <col min="27" max="27" width="13.109375" style="21" customWidth="1"/>
    <col min="28" max="28" width="13.33203125" style="21" customWidth="1"/>
    <col min="29" max="29" width="12.6640625" style="21" customWidth="1"/>
    <col min="30" max="30" width="10.44140625" style="21" customWidth="1"/>
    <col min="31" max="31" width="13.33203125" style="21" customWidth="1"/>
    <col min="32" max="32" width="13.109375" style="21" customWidth="1"/>
    <col min="33" max="34" width="12.33203125" style="21" customWidth="1"/>
    <col min="35" max="35" width="12.44140625" style="21" customWidth="1"/>
    <col min="36" max="36" width="12.33203125" style="21" customWidth="1"/>
    <col min="37" max="37" width="11.6640625" style="21" customWidth="1"/>
    <col min="38" max="38" width="11.5546875" style="21" customWidth="1"/>
    <col min="39" max="39" width="13.109375" style="21" customWidth="1"/>
    <col min="40" max="40" width="13.33203125" style="21" customWidth="1"/>
    <col min="41" max="41" width="12.5546875" style="21" customWidth="1"/>
    <col min="42" max="44" width="12.6640625" style="21" customWidth="1"/>
    <col min="45" max="45" width="13.88671875" style="21" customWidth="1"/>
    <col min="46" max="46" width="13.33203125" style="21" customWidth="1"/>
    <col min="47" max="47" width="14.109375" style="21" customWidth="1"/>
    <col min="48" max="48" width="12.88671875" style="21" customWidth="1"/>
    <col min="49" max="49" width="14.33203125" style="21" customWidth="1"/>
    <col min="50" max="50" width="13.109375" style="21" customWidth="1"/>
    <col min="51" max="51" width="14.5546875" style="21" customWidth="1"/>
    <col min="52" max="52" width="13.33203125" style="21" customWidth="1"/>
    <col min="53" max="53" width="14.109375" style="21" customWidth="1"/>
    <col min="54" max="54" width="12.88671875" style="21" customWidth="1"/>
    <col min="55" max="56" width="13.33203125" style="21" customWidth="1"/>
    <col min="57" max="57" width="14.109375" style="21" customWidth="1"/>
    <col min="58" max="58" width="12.6640625" style="21" customWidth="1"/>
    <col min="59" max="59" width="38.6640625" style="21" bestFit="1" customWidth="1"/>
    <col min="60" max="60" width="12.88671875" style="21" customWidth="1"/>
    <col min="61" max="62" width="13.33203125" style="21" customWidth="1"/>
    <col min="63" max="63" width="11" style="21" customWidth="1"/>
    <col min="64" max="64" width="11.88671875" style="21" customWidth="1"/>
    <col min="65" max="65" width="9" style="21" customWidth="1"/>
    <col min="66" max="66" width="14.33203125" style="21" customWidth="1"/>
    <col min="67" max="67" width="12.44140625" style="21" customWidth="1"/>
    <col min="68" max="68" width="13.6640625" style="21" customWidth="1"/>
    <col min="69" max="69" width="12.5546875" style="21" customWidth="1"/>
    <col min="70" max="70" width="19.33203125" style="21" bestFit="1" customWidth="1"/>
    <col min="71" max="71" width="11.6640625" style="21" customWidth="1"/>
    <col min="72" max="72" width="13.88671875" style="21" customWidth="1"/>
    <col min="73" max="73" width="12.44140625" style="21" customWidth="1"/>
    <col min="74" max="74" width="13.33203125" style="21" customWidth="1"/>
    <col min="75" max="16384" width="8.88671875" style="21"/>
  </cols>
  <sheetData>
    <row r="1" spans="1:956" s="2" customFormat="1" ht="110.4" customHeight="1" x14ac:dyDescent="0.3">
      <c r="B1" s="9">
        <f>SUBTOTAL(3,Source[Region])</f>
        <v>0</v>
      </c>
    </row>
    <row r="2" spans="1:956" s="2" customFormat="1" ht="48" customHeight="1" x14ac:dyDescent="0.3">
      <c r="A2" s="22" t="s">
        <v>10</v>
      </c>
      <c r="B2" s="22" t="s">
        <v>11</v>
      </c>
      <c r="C2" s="22" t="s">
        <v>12</v>
      </c>
      <c r="D2" s="22" t="s">
        <v>13</v>
      </c>
      <c r="E2" s="22" t="s">
        <v>14</v>
      </c>
      <c r="F2" s="22" t="s">
        <v>15</v>
      </c>
      <c r="G2" s="22" t="s">
        <v>16</v>
      </c>
      <c r="H2" s="22" t="s">
        <v>17</v>
      </c>
      <c r="I2" s="22" t="s">
        <v>18</v>
      </c>
      <c r="J2" s="22" t="s">
        <v>19</v>
      </c>
      <c r="K2" s="22" t="s">
        <v>20</v>
      </c>
      <c r="L2" s="22" t="s">
        <v>21</v>
      </c>
      <c r="M2" s="22" t="s">
        <v>22</v>
      </c>
      <c r="N2" s="22" t="s">
        <v>23</v>
      </c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  <c r="AAA2" s="3"/>
      <c r="AAB2" s="3"/>
      <c r="AAC2" s="3"/>
      <c r="AAD2" s="3"/>
      <c r="AAE2" s="3"/>
      <c r="AAF2" s="3"/>
      <c r="AAG2" s="3"/>
      <c r="AAH2" s="3"/>
      <c r="AAI2" s="3"/>
      <c r="AAJ2" s="3"/>
      <c r="AAK2" s="3"/>
      <c r="AAL2" s="3"/>
      <c r="AAM2" s="3"/>
      <c r="AAN2" s="3"/>
      <c r="AAO2" s="3"/>
      <c r="AAP2" s="3"/>
      <c r="AAQ2" s="3"/>
      <c r="AAR2" s="3"/>
      <c r="AAS2" s="3"/>
      <c r="AAT2" s="3"/>
      <c r="AAU2" s="3"/>
      <c r="AAV2" s="3"/>
      <c r="AAW2" s="3"/>
      <c r="AAX2" s="3"/>
      <c r="AAY2" s="3"/>
      <c r="AAZ2" s="3"/>
      <c r="ABA2" s="3"/>
      <c r="ABB2" s="3"/>
      <c r="ABC2" s="3"/>
      <c r="ABD2" s="3"/>
      <c r="ABE2" s="3"/>
      <c r="ABF2" s="3"/>
      <c r="ABG2" s="3"/>
      <c r="ABH2" s="3"/>
      <c r="ABI2" s="3"/>
      <c r="ABJ2" s="3"/>
      <c r="ABK2" s="3"/>
      <c r="ABL2" s="3"/>
      <c r="ABM2" s="3"/>
      <c r="ABN2" s="3"/>
      <c r="ABO2" s="3"/>
      <c r="ABP2" s="3"/>
      <c r="ABQ2" s="3"/>
      <c r="ABR2" s="3"/>
      <c r="ABS2" s="3"/>
      <c r="ABT2" s="3"/>
      <c r="ABU2" s="3"/>
      <c r="ABV2" s="3"/>
      <c r="ABW2" s="3"/>
      <c r="ABX2" s="3"/>
      <c r="ABY2" s="3"/>
      <c r="ABZ2" s="3"/>
      <c r="ACA2" s="3"/>
      <c r="ACB2" s="3"/>
      <c r="ACC2" s="3"/>
      <c r="ACD2" s="3"/>
      <c r="ACE2" s="3"/>
      <c r="ACF2" s="3"/>
      <c r="ACG2" s="3"/>
      <c r="ACH2" s="3"/>
      <c r="ACI2" s="3"/>
      <c r="ACJ2" s="3"/>
      <c r="ACK2" s="3"/>
      <c r="ACL2" s="3"/>
      <c r="ACM2" s="3"/>
      <c r="ACN2" s="3"/>
      <c r="ACO2" s="3"/>
      <c r="ACP2" s="3"/>
      <c r="ACQ2" s="3"/>
      <c r="ACR2" s="3"/>
      <c r="ACS2" s="3"/>
      <c r="ACT2" s="3"/>
      <c r="ACU2" s="3"/>
      <c r="ACV2" s="3"/>
      <c r="ACW2" s="3"/>
      <c r="ACX2" s="3"/>
      <c r="ACY2" s="3"/>
      <c r="ACZ2" s="3"/>
      <c r="ADA2" s="3"/>
      <c r="ADB2" s="3"/>
      <c r="ADC2" s="3"/>
      <c r="ADD2" s="3"/>
      <c r="ADE2" s="3"/>
      <c r="ADF2" s="3"/>
      <c r="ADG2" s="3"/>
      <c r="ADH2" s="3"/>
      <c r="ADI2" s="3"/>
      <c r="ADJ2" s="3"/>
      <c r="ADK2" s="3"/>
      <c r="ADL2" s="3"/>
      <c r="ADM2" s="3"/>
      <c r="ADN2" s="3"/>
      <c r="ADO2" s="3"/>
      <c r="ADP2" s="3"/>
      <c r="ADQ2" s="3"/>
      <c r="ADR2" s="3"/>
      <c r="ADS2" s="3"/>
      <c r="ADT2" s="3"/>
      <c r="ADU2" s="3"/>
      <c r="ADV2" s="3"/>
      <c r="ADW2" s="3"/>
      <c r="ADX2" s="3"/>
      <c r="ADY2" s="3"/>
      <c r="ADZ2" s="3"/>
      <c r="AEA2" s="3"/>
      <c r="AEB2" s="3"/>
      <c r="AEC2" s="3"/>
      <c r="AED2" s="3"/>
      <c r="AEE2" s="3"/>
      <c r="AEF2" s="3"/>
      <c r="AEG2" s="3"/>
      <c r="AEH2" s="3"/>
      <c r="AEI2" s="3"/>
      <c r="AEJ2" s="3"/>
      <c r="AEK2" s="3"/>
      <c r="AEL2" s="3"/>
      <c r="AEM2" s="3"/>
      <c r="AEN2" s="3"/>
      <c r="AEO2" s="3"/>
      <c r="AEP2" s="3"/>
      <c r="AEQ2" s="3"/>
      <c r="AER2" s="3"/>
      <c r="AES2" s="3"/>
      <c r="AET2" s="3"/>
      <c r="AEU2" s="3"/>
      <c r="AEV2" s="3"/>
      <c r="AEW2" s="3"/>
      <c r="AEX2" s="3"/>
      <c r="AEY2" s="3"/>
      <c r="AEZ2" s="3"/>
      <c r="AFA2" s="3"/>
      <c r="AFB2" s="3"/>
      <c r="AFC2" s="3"/>
      <c r="AFD2" s="3"/>
      <c r="AFE2" s="3"/>
      <c r="AFF2" s="3"/>
      <c r="AFG2" s="3"/>
      <c r="AFH2" s="3"/>
      <c r="AFI2" s="3"/>
      <c r="AFJ2" s="3"/>
      <c r="AFK2" s="3"/>
      <c r="AFL2" s="3"/>
      <c r="AFM2" s="3"/>
      <c r="AFN2" s="3"/>
      <c r="AFO2" s="3"/>
      <c r="AFP2" s="3"/>
      <c r="AFQ2" s="3"/>
      <c r="AFR2" s="3"/>
      <c r="AFS2" s="3"/>
      <c r="AFT2" s="3"/>
      <c r="AFU2" s="3"/>
      <c r="AFV2" s="3"/>
      <c r="AFW2" s="3"/>
      <c r="AFX2" s="3"/>
      <c r="AFY2" s="3"/>
      <c r="AFZ2" s="3"/>
      <c r="AGA2" s="3"/>
      <c r="AGB2" s="3"/>
      <c r="AGC2" s="3"/>
      <c r="AGD2" s="3"/>
      <c r="AGE2" s="3"/>
      <c r="AGF2" s="3"/>
      <c r="AGG2" s="3"/>
      <c r="AGH2" s="3"/>
      <c r="AGI2" s="3"/>
      <c r="AGJ2" s="3"/>
      <c r="AGK2" s="3"/>
      <c r="AGL2" s="3"/>
      <c r="AGM2" s="3"/>
      <c r="AGN2" s="3"/>
      <c r="AGO2" s="3"/>
      <c r="AGP2" s="3"/>
      <c r="AGQ2" s="3"/>
      <c r="AGR2" s="3"/>
      <c r="AGS2" s="3"/>
      <c r="AGT2" s="3"/>
      <c r="AGU2" s="3"/>
      <c r="AGV2" s="3"/>
      <c r="AGW2" s="3"/>
      <c r="AGX2" s="3"/>
      <c r="AGY2" s="3"/>
      <c r="AGZ2" s="3"/>
      <c r="AHA2" s="3"/>
      <c r="AHB2" s="3"/>
      <c r="AHC2" s="3"/>
      <c r="AHD2" s="3"/>
      <c r="AHE2" s="3"/>
      <c r="AHF2" s="3"/>
      <c r="AHG2" s="3"/>
      <c r="AHH2" s="3"/>
      <c r="AHI2" s="3"/>
      <c r="AHJ2" s="3"/>
      <c r="AHK2" s="3"/>
      <c r="AHL2" s="3"/>
      <c r="AHM2" s="3"/>
      <c r="AHN2" s="3"/>
      <c r="AHO2" s="3"/>
      <c r="AHP2" s="3"/>
      <c r="AHQ2" s="3"/>
      <c r="AHR2" s="3"/>
      <c r="AHS2" s="3"/>
      <c r="AHT2" s="3"/>
      <c r="AHU2" s="3"/>
      <c r="AHV2" s="3"/>
      <c r="AHW2" s="3"/>
      <c r="AHX2" s="3"/>
      <c r="AHY2" s="3"/>
      <c r="AHZ2" s="3"/>
      <c r="AIA2" s="3"/>
      <c r="AIB2" s="3"/>
      <c r="AIC2" s="3"/>
      <c r="AID2" s="3"/>
      <c r="AIE2" s="3"/>
      <c r="AIF2" s="3"/>
      <c r="AIG2" s="3"/>
      <c r="AIH2" s="3"/>
      <c r="AII2" s="3"/>
      <c r="AIJ2" s="3"/>
      <c r="AIK2" s="3"/>
      <c r="AIL2" s="3"/>
      <c r="AIM2" s="3"/>
      <c r="AIN2" s="3"/>
      <c r="AIO2" s="3"/>
      <c r="AIP2" s="3"/>
      <c r="AIQ2" s="3"/>
      <c r="AIR2" s="3"/>
      <c r="AIS2" s="3"/>
      <c r="AIT2" s="3"/>
      <c r="AIU2" s="3"/>
      <c r="AIV2" s="3"/>
      <c r="AIW2" s="3"/>
      <c r="AIX2" s="3"/>
      <c r="AIY2" s="3"/>
      <c r="AIZ2" s="3"/>
      <c r="AJA2" s="3"/>
      <c r="AJB2" s="3"/>
      <c r="AJC2" s="3"/>
      <c r="AJD2" s="3"/>
      <c r="AJE2" s="3"/>
      <c r="AJF2" s="3"/>
      <c r="AJG2" s="3"/>
      <c r="AJH2" s="3"/>
      <c r="AJI2" s="3"/>
      <c r="AJJ2" s="3"/>
      <c r="AJK2" s="3"/>
      <c r="AJL2" s="3"/>
      <c r="AJM2" s="3"/>
      <c r="AJN2" s="3"/>
      <c r="AJO2" s="3"/>
      <c r="AJP2" s="3"/>
      <c r="AJQ2" s="3"/>
      <c r="AJR2" s="3"/>
      <c r="AJS2" s="3"/>
      <c r="AJT2" s="3"/>
    </row>
    <row r="3" spans="1:956" hidden="1" x14ac:dyDescent="0.3">
      <c r="A3" s="19" t="s">
        <v>24</v>
      </c>
      <c r="B3" s="19" t="s">
        <v>25</v>
      </c>
      <c r="C3" s="19" t="s">
        <v>26</v>
      </c>
      <c r="D3" s="19" t="s">
        <v>27</v>
      </c>
      <c r="E3" s="19" t="s">
        <v>28</v>
      </c>
      <c r="F3" s="19" t="s">
        <v>29</v>
      </c>
      <c r="G3" s="19" t="s">
        <v>30</v>
      </c>
      <c r="H3" s="19" t="s">
        <v>31</v>
      </c>
      <c r="I3" s="19" t="s">
        <v>32</v>
      </c>
      <c r="J3" s="19" t="s">
        <v>33</v>
      </c>
      <c r="K3" s="19" t="s">
        <v>34</v>
      </c>
      <c r="L3" s="19" t="s">
        <v>35</v>
      </c>
      <c r="M3" s="19" t="s">
        <v>36</v>
      </c>
      <c r="N3" s="19" t="s">
        <v>37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</row>
    <row r="4" spans="1:956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</row>
    <row r="5" spans="1:956" hidden="1" x14ac:dyDescent="0.3">
      <c r="A5" s="19" t="s">
        <v>44</v>
      </c>
      <c r="B5" s="19" t="s">
        <v>45</v>
      </c>
      <c r="C5" s="19" t="s">
        <v>46</v>
      </c>
      <c r="D5" s="19" t="s">
        <v>27</v>
      </c>
      <c r="E5" s="19" t="s">
        <v>47</v>
      </c>
      <c r="F5" s="19" t="s">
        <v>48</v>
      </c>
      <c r="G5" s="19" t="s">
        <v>49</v>
      </c>
      <c r="H5" s="19" t="s">
        <v>50</v>
      </c>
      <c r="I5" s="19" t="s">
        <v>51</v>
      </c>
      <c r="J5" s="19" t="s">
        <v>52</v>
      </c>
      <c r="K5" s="19" t="s">
        <v>53</v>
      </c>
      <c r="L5" s="19" t="s">
        <v>54</v>
      </c>
      <c r="M5" s="19" t="s">
        <v>55</v>
      </c>
      <c r="N5" s="19" t="s">
        <v>56</v>
      </c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</row>
    <row r="6" spans="1:956" x14ac:dyDescent="0.3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</row>
    <row r="7" spans="1:956" hidden="1" x14ac:dyDescent="0.3">
      <c r="A7" s="19" t="s">
        <v>57</v>
      </c>
      <c r="B7" s="19" t="s">
        <v>62</v>
      </c>
      <c r="C7" s="19" t="s">
        <v>46</v>
      </c>
      <c r="D7" s="19" t="s">
        <v>27</v>
      </c>
      <c r="E7" s="19" t="s">
        <v>47</v>
      </c>
      <c r="F7" s="19" t="s">
        <v>63</v>
      </c>
      <c r="G7" s="19" t="s">
        <v>64</v>
      </c>
      <c r="H7" s="19" t="s">
        <v>65</v>
      </c>
      <c r="I7" s="19" t="s">
        <v>66</v>
      </c>
      <c r="J7" s="19" t="s">
        <v>52</v>
      </c>
      <c r="K7" s="19" t="s">
        <v>53</v>
      </c>
      <c r="L7" s="19" t="s">
        <v>67</v>
      </c>
      <c r="M7" s="19" t="s">
        <v>68</v>
      </c>
      <c r="N7" s="19" t="s">
        <v>69</v>
      </c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</row>
    <row r="8" spans="1:956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</row>
    <row r="9" spans="1:956" hidden="1" x14ac:dyDescent="0.3">
      <c r="A9" s="19" t="s">
        <v>57</v>
      </c>
      <c r="B9" s="19" t="s">
        <v>70</v>
      </c>
      <c r="C9" s="19" t="s">
        <v>71</v>
      </c>
      <c r="D9" s="19" t="s">
        <v>27</v>
      </c>
      <c r="E9" s="19" t="s">
        <v>72</v>
      </c>
      <c r="F9" s="19" t="s">
        <v>73</v>
      </c>
      <c r="G9" s="19" t="s">
        <v>74</v>
      </c>
      <c r="H9" s="19" t="s">
        <v>75</v>
      </c>
      <c r="I9" s="19" t="s">
        <v>76</v>
      </c>
      <c r="J9" s="19" t="s">
        <v>77</v>
      </c>
      <c r="K9" s="19" t="s">
        <v>78</v>
      </c>
      <c r="L9" s="19" t="s">
        <v>79</v>
      </c>
      <c r="M9" s="19" t="s">
        <v>80</v>
      </c>
      <c r="N9" s="19" t="s">
        <v>81</v>
      </c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</row>
    <row r="10" spans="1:956" x14ac:dyDescent="0.3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</row>
    <row r="11" spans="1:956" hidden="1" x14ac:dyDescent="0.3">
      <c r="A11" s="19" t="s">
        <v>57</v>
      </c>
      <c r="B11" s="19" t="s">
        <v>85</v>
      </c>
      <c r="C11" s="19" t="s">
        <v>86</v>
      </c>
      <c r="D11" s="19" t="s">
        <v>27</v>
      </c>
      <c r="E11" s="19" t="s">
        <v>72</v>
      </c>
      <c r="F11" s="19" t="s">
        <v>87</v>
      </c>
      <c r="G11" s="19" t="s">
        <v>88</v>
      </c>
      <c r="H11" s="19" t="s">
        <v>89</v>
      </c>
      <c r="I11" s="19" t="s">
        <v>90</v>
      </c>
      <c r="J11" s="19" t="s">
        <v>91</v>
      </c>
      <c r="K11" s="19" t="s">
        <v>92</v>
      </c>
      <c r="L11" s="19" t="s">
        <v>93</v>
      </c>
      <c r="M11" s="19" t="s">
        <v>94</v>
      </c>
      <c r="N11" s="19" t="s">
        <v>95</v>
      </c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</row>
    <row r="12" spans="1:956" x14ac:dyDescent="0.3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</row>
    <row r="13" spans="1:956" x14ac:dyDescent="0.3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</row>
    <row r="14" spans="1:956" hidden="1" x14ac:dyDescent="0.3">
      <c r="A14" s="19" t="s">
        <v>57</v>
      </c>
      <c r="B14" s="19" t="s">
        <v>97</v>
      </c>
      <c r="C14" s="19" t="s">
        <v>98</v>
      </c>
      <c r="D14" s="19" t="s">
        <v>27</v>
      </c>
      <c r="E14" s="19" t="s">
        <v>28</v>
      </c>
      <c r="F14" s="19" t="s">
        <v>99</v>
      </c>
      <c r="G14" s="19" t="s">
        <v>100</v>
      </c>
      <c r="H14" s="19" t="s">
        <v>101</v>
      </c>
      <c r="I14" s="19" t="s">
        <v>102</v>
      </c>
      <c r="J14" s="19" t="s">
        <v>103</v>
      </c>
      <c r="K14" s="19" t="s">
        <v>104</v>
      </c>
      <c r="L14" s="19" t="s">
        <v>105</v>
      </c>
      <c r="M14" s="19" t="s">
        <v>106</v>
      </c>
      <c r="N14" s="19" t="s">
        <v>107</v>
      </c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</row>
    <row r="15" spans="1:956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</row>
    <row r="16" spans="1:956" hidden="1" x14ac:dyDescent="0.3">
      <c r="A16" s="19" t="s">
        <v>38</v>
      </c>
      <c r="B16" s="19" t="s">
        <v>108</v>
      </c>
      <c r="C16" s="19" t="s">
        <v>71</v>
      </c>
      <c r="D16" s="19" t="s">
        <v>27</v>
      </c>
      <c r="E16" s="19" t="s">
        <v>28</v>
      </c>
      <c r="F16" s="19" t="s">
        <v>109</v>
      </c>
      <c r="G16" s="19" t="s">
        <v>110</v>
      </c>
      <c r="H16" s="19" t="s">
        <v>111</v>
      </c>
      <c r="I16" s="19" t="s">
        <v>112</v>
      </c>
      <c r="J16" s="19" t="s">
        <v>77</v>
      </c>
      <c r="K16" s="19" t="s">
        <v>78</v>
      </c>
      <c r="L16" s="19" t="s">
        <v>113</v>
      </c>
      <c r="M16" s="19" t="s">
        <v>114</v>
      </c>
      <c r="N16" s="19" t="s">
        <v>115</v>
      </c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</row>
    <row r="17" spans="1:74" hidden="1" x14ac:dyDescent="0.3">
      <c r="A17" s="19" t="s">
        <v>96</v>
      </c>
      <c r="B17" s="19" t="s">
        <v>116</v>
      </c>
      <c r="C17" s="19" t="s">
        <v>86</v>
      </c>
      <c r="D17" s="19" t="s">
        <v>27</v>
      </c>
      <c r="E17" s="19" t="s">
        <v>41</v>
      </c>
      <c r="F17" s="19" t="s">
        <v>117</v>
      </c>
      <c r="G17" s="19" t="s">
        <v>118</v>
      </c>
      <c r="H17" s="19" t="s">
        <v>119</v>
      </c>
      <c r="I17" s="19" t="s">
        <v>120</v>
      </c>
      <c r="J17" s="19" t="s">
        <v>91</v>
      </c>
      <c r="K17" s="19" t="s">
        <v>92</v>
      </c>
      <c r="L17" s="19" t="s">
        <v>121</v>
      </c>
      <c r="M17" s="19" t="s">
        <v>122</v>
      </c>
      <c r="N17" s="19" t="s">
        <v>123</v>
      </c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</row>
    <row r="18" spans="1:74" hidden="1" x14ac:dyDescent="0.3">
      <c r="A18" s="19" t="s">
        <v>44</v>
      </c>
      <c r="B18" s="19" t="s">
        <v>124</v>
      </c>
      <c r="C18" s="19" t="s">
        <v>98</v>
      </c>
      <c r="D18" s="19" t="s">
        <v>40</v>
      </c>
      <c r="E18" s="19" t="s">
        <v>72</v>
      </c>
      <c r="F18" s="19" t="s">
        <v>125</v>
      </c>
      <c r="G18" s="19" t="s">
        <v>126</v>
      </c>
      <c r="H18" s="19" t="s">
        <v>127</v>
      </c>
      <c r="I18" s="19" t="s">
        <v>128</v>
      </c>
      <c r="J18" s="19" t="s">
        <v>103</v>
      </c>
      <c r="K18" s="19" t="s">
        <v>104</v>
      </c>
      <c r="L18" s="19" t="s">
        <v>129</v>
      </c>
      <c r="M18" s="19" t="s">
        <v>130</v>
      </c>
      <c r="N18" s="19" t="s">
        <v>131</v>
      </c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</row>
    <row r="19" spans="1:74" hidden="1" x14ac:dyDescent="0.3">
      <c r="A19" s="19" t="s">
        <v>96</v>
      </c>
      <c r="B19" s="19" t="s">
        <v>132</v>
      </c>
      <c r="C19" s="19" t="s">
        <v>133</v>
      </c>
      <c r="D19" s="19" t="s">
        <v>27</v>
      </c>
      <c r="E19" s="19" t="s">
        <v>72</v>
      </c>
      <c r="F19" s="19" t="s">
        <v>134</v>
      </c>
      <c r="G19" s="19" t="s">
        <v>135</v>
      </c>
      <c r="H19" s="19" t="s">
        <v>136</v>
      </c>
      <c r="I19" s="19" t="s">
        <v>137</v>
      </c>
      <c r="J19" s="19" t="s">
        <v>138</v>
      </c>
      <c r="K19" s="19" t="s">
        <v>139</v>
      </c>
      <c r="L19" s="19" t="s">
        <v>140</v>
      </c>
      <c r="M19" s="19" t="s">
        <v>141</v>
      </c>
      <c r="N19" s="19" t="s">
        <v>142</v>
      </c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</row>
    <row r="20" spans="1:74" hidden="1" x14ac:dyDescent="0.3">
      <c r="A20" s="19" t="s">
        <v>57</v>
      </c>
      <c r="B20" s="19" t="s">
        <v>143</v>
      </c>
      <c r="C20" s="19" t="s">
        <v>144</v>
      </c>
      <c r="D20" s="19" t="s">
        <v>27</v>
      </c>
      <c r="E20" s="19" t="s">
        <v>41</v>
      </c>
      <c r="F20" s="19" t="s">
        <v>145</v>
      </c>
      <c r="G20" s="19" t="s">
        <v>146</v>
      </c>
      <c r="H20" s="19" t="s">
        <v>147</v>
      </c>
      <c r="I20" s="19" t="s">
        <v>148</v>
      </c>
      <c r="J20" s="19" t="s">
        <v>149</v>
      </c>
      <c r="K20" s="19" t="s">
        <v>150</v>
      </c>
      <c r="L20" s="19" t="s">
        <v>151</v>
      </c>
      <c r="M20" s="19" t="s">
        <v>152</v>
      </c>
      <c r="N20" s="19" t="s">
        <v>153</v>
      </c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</row>
    <row r="21" spans="1:74" hidden="1" x14ac:dyDescent="0.3">
      <c r="A21" s="19" t="s">
        <v>96</v>
      </c>
      <c r="B21" s="19" t="s">
        <v>154</v>
      </c>
      <c r="C21" s="19" t="s">
        <v>71</v>
      </c>
      <c r="D21" s="19" t="s">
        <v>27</v>
      </c>
      <c r="E21" s="19" t="s">
        <v>47</v>
      </c>
      <c r="F21" s="19" t="s">
        <v>155</v>
      </c>
      <c r="G21" s="19" t="s">
        <v>156</v>
      </c>
      <c r="H21" s="19" t="s">
        <v>157</v>
      </c>
      <c r="I21" s="19" t="s">
        <v>158</v>
      </c>
      <c r="J21" s="19" t="s">
        <v>77</v>
      </c>
      <c r="K21" s="19" t="s">
        <v>78</v>
      </c>
      <c r="L21" s="19" t="s">
        <v>159</v>
      </c>
      <c r="M21" s="19" t="s">
        <v>160</v>
      </c>
      <c r="N21" s="19" t="s">
        <v>161</v>
      </c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</row>
    <row r="22" spans="1:74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</row>
    <row r="23" spans="1:74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</row>
    <row r="24" spans="1:74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</row>
    <row r="25" spans="1:74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</row>
    <row r="26" spans="1:74" x14ac:dyDescent="0.3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</row>
    <row r="27" spans="1:74" x14ac:dyDescent="0.3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</row>
    <row r="28" spans="1:74" x14ac:dyDescent="0.3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</row>
    <row r="29" spans="1:74" hidden="1" x14ac:dyDescent="0.3">
      <c r="A29" s="19" t="s">
        <v>24</v>
      </c>
      <c r="B29" s="19" t="s">
        <v>169</v>
      </c>
      <c r="C29" s="19" t="s">
        <v>59</v>
      </c>
      <c r="D29" s="19" t="s">
        <v>40</v>
      </c>
      <c r="E29" s="19" t="s">
        <v>72</v>
      </c>
      <c r="F29" s="19" t="s">
        <v>170</v>
      </c>
      <c r="G29" s="19" t="s">
        <v>171</v>
      </c>
      <c r="H29" s="19" t="s">
        <v>172</v>
      </c>
      <c r="I29" s="19" t="s">
        <v>173</v>
      </c>
      <c r="J29" s="19" t="s">
        <v>60</v>
      </c>
      <c r="K29" s="19" t="s">
        <v>61</v>
      </c>
      <c r="L29" s="19" t="s">
        <v>174</v>
      </c>
      <c r="M29" s="19" t="s">
        <v>175</v>
      </c>
      <c r="N29" s="19" t="s">
        <v>176</v>
      </c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</row>
    <row r="30" spans="1:74" x14ac:dyDescent="0.3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</row>
    <row r="31" spans="1:74" hidden="1" x14ac:dyDescent="0.3">
      <c r="A31" s="19" t="s">
        <v>44</v>
      </c>
      <c r="B31" s="19" t="s">
        <v>165</v>
      </c>
      <c r="C31" s="19" t="s">
        <v>144</v>
      </c>
      <c r="D31" s="19" t="s">
        <v>27</v>
      </c>
      <c r="E31" s="19" t="s">
        <v>41</v>
      </c>
      <c r="F31" s="19" t="s">
        <v>178</v>
      </c>
      <c r="G31" s="19" t="s">
        <v>179</v>
      </c>
      <c r="H31" s="19" t="s">
        <v>180</v>
      </c>
      <c r="I31" s="19" t="s">
        <v>181</v>
      </c>
      <c r="J31" s="19" t="s">
        <v>149</v>
      </c>
      <c r="K31" s="19" t="s">
        <v>150</v>
      </c>
      <c r="L31" s="19" t="s">
        <v>182</v>
      </c>
      <c r="M31" s="19" t="s">
        <v>183</v>
      </c>
      <c r="N31" s="19" t="s">
        <v>184</v>
      </c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</row>
    <row r="32" spans="1:74" hidden="1" x14ac:dyDescent="0.3">
      <c r="A32" s="19" t="s">
        <v>57</v>
      </c>
      <c r="B32" s="19" t="s">
        <v>185</v>
      </c>
      <c r="C32" s="19" t="s">
        <v>71</v>
      </c>
      <c r="D32" s="19" t="s">
        <v>27</v>
      </c>
      <c r="E32" s="19" t="s">
        <v>47</v>
      </c>
      <c r="F32" s="19" t="s">
        <v>186</v>
      </c>
      <c r="G32" s="19" t="s">
        <v>187</v>
      </c>
      <c r="H32" s="19" t="s">
        <v>188</v>
      </c>
      <c r="I32" s="19" t="s">
        <v>189</v>
      </c>
      <c r="J32" s="19" t="s">
        <v>77</v>
      </c>
      <c r="K32" s="19" t="s">
        <v>78</v>
      </c>
      <c r="L32" s="19" t="s">
        <v>190</v>
      </c>
      <c r="M32" s="19" t="s">
        <v>191</v>
      </c>
      <c r="N32" s="19" t="s">
        <v>192</v>
      </c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</row>
    <row r="33" spans="1:74" hidden="1" x14ac:dyDescent="0.3">
      <c r="A33" s="19" t="s">
        <v>44</v>
      </c>
      <c r="B33" s="19" t="s">
        <v>193</v>
      </c>
      <c r="C33" s="19" t="s">
        <v>133</v>
      </c>
      <c r="D33" s="19" t="s">
        <v>27</v>
      </c>
      <c r="E33" s="19" t="s">
        <v>72</v>
      </c>
      <c r="F33" s="19" t="s">
        <v>194</v>
      </c>
      <c r="G33" s="19" t="s">
        <v>195</v>
      </c>
      <c r="H33" s="19" t="s">
        <v>196</v>
      </c>
      <c r="I33" s="19" t="s">
        <v>197</v>
      </c>
      <c r="J33" s="19" t="s">
        <v>138</v>
      </c>
      <c r="K33" s="19" t="s">
        <v>139</v>
      </c>
      <c r="L33" s="19" t="s">
        <v>198</v>
      </c>
      <c r="M33" s="19" t="s">
        <v>199</v>
      </c>
      <c r="N33" s="19" t="s">
        <v>200</v>
      </c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</row>
    <row r="34" spans="1:74" hidden="1" x14ac:dyDescent="0.3">
      <c r="A34" s="19" t="s">
        <v>57</v>
      </c>
      <c r="B34" s="19" t="s">
        <v>201</v>
      </c>
      <c r="C34" s="19" t="s">
        <v>86</v>
      </c>
      <c r="D34" s="19" t="s">
        <v>27</v>
      </c>
      <c r="E34" s="19" t="s">
        <v>41</v>
      </c>
      <c r="F34" s="19" t="s">
        <v>202</v>
      </c>
      <c r="G34" s="19" t="s">
        <v>203</v>
      </c>
      <c r="H34" s="19" t="s">
        <v>204</v>
      </c>
      <c r="I34" s="19" t="s">
        <v>205</v>
      </c>
      <c r="J34" s="19" t="s">
        <v>91</v>
      </c>
      <c r="K34" s="19" t="s">
        <v>92</v>
      </c>
      <c r="L34" s="19" t="s">
        <v>206</v>
      </c>
      <c r="M34" s="19" t="s">
        <v>207</v>
      </c>
      <c r="N34" s="19" t="s">
        <v>208</v>
      </c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</row>
    <row r="35" spans="1:74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</row>
    <row r="36" spans="1:74" hidden="1" x14ac:dyDescent="0.3">
      <c r="A36" s="19" t="s">
        <v>96</v>
      </c>
      <c r="B36" s="19" t="s">
        <v>210</v>
      </c>
      <c r="C36" s="19" t="s">
        <v>71</v>
      </c>
      <c r="D36" s="19" t="s">
        <v>27</v>
      </c>
      <c r="E36" s="19" t="s">
        <v>28</v>
      </c>
      <c r="F36" s="19" t="s">
        <v>211</v>
      </c>
      <c r="G36" s="19" t="s">
        <v>212</v>
      </c>
      <c r="H36" s="19" t="s">
        <v>213</v>
      </c>
      <c r="I36" s="19" t="s">
        <v>214</v>
      </c>
      <c r="J36" s="19" t="s">
        <v>77</v>
      </c>
      <c r="K36" s="19" t="s">
        <v>78</v>
      </c>
      <c r="L36" s="19" t="s">
        <v>215</v>
      </c>
      <c r="M36" s="19" t="s">
        <v>216</v>
      </c>
      <c r="N36" s="19" t="s">
        <v>217</v>
      </c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</row>
    <row r="37" spans="1:74" hidden="1" x14ac:dyDescent="0.3">
      <c r="A37" s="19" t="s">
        <v>57</v>
      </c>
      <c r="B37" s="19" t="s">
        <v>218</v>
      </c>
      <c r="C37" s="19" t="s">
        <v>166</v>
      </c>
      <c r="D37" s="19" t="s">
        <v>40</v>
      </c>
      <c r="E37" s="19" t="s">
        <v>72</v>
      </c>
      <c r="F37" s="19" t="s">
        <v>219</v>
      </c>
      <c r="G37" s="19" t="s">
        <v>220</v>
      </c>
      <c r="H37" s="19" t="s">
        <v>219</v>
      </c>
      <c r="I37" s="19" t="s">
        <v>221</v>
      </c>
      <c r="J37" s="19" t="s">
        <v>167</v>
      </c>
      <c r="K37" s="19" t="s">
        <v>168</v>
      </c>
      <c r="L37" s="19" t="s">
        <v>222</v>
      </c>
      <c r="M37" s="19" t="s">
        <v>223</v>
      </c>
      <c r="N37" s="19" t="s">
        <v>224</v>
      </c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</row>
    <row r="38" spans="1:74" hidden="1" x14ac:dyDescent="0.3">
      <c r="A38" s="19" t="s">
        <v>38</v>
      </c>
      <c r="B38" s="19" t="s">
        <v>225</v>
      </c>
      <c r="C38" s="19" t="s">
        <v>86</v>
      </c>
      <c r="D38" s="19" t="s">
        <v>27</v>
      </c>
      <c r="E38" s="19" t="s">
        <v>47</v>
      </c>
      <c r="F38" s="19" t="s">
        <v>226</v>
      </c>
      <c r="G38" s="19" t="s">
        <v>227</v>
      </c>
      <c r="H38" s="19" t="s">
        <v>228</v>
      </c>
      <c r="I38" s="19" t="s">
        <v>229</v>
      </c>
      <c r="J38" s="19" t="s">
        <v>91</v>
      </c>
      <c r="K38" s="19" t="s">
        <v>92</v>
      </c>
      <c r="L38" s="19" t="s">
        <v>230</v>
      </c>
      <c r="M38" s="19" t="s">
        <v>231</v>
      </c>
      <c r="N38" s="19" t="s">
        <v>232</v>
      </c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</row>
    <row r="39" spans="1:74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</row>
    <row r="40" spans="1:74" hidden="1" x14ac:dyDescent="0.3">
      <c r="A40" s="19" t="s">
        <v>57</v>
      </c>
      <c r="B40" s="19" t="s">
        <v>185</v>
      </c>
      <c r="C40" s="19" t="s">
        <v>162</v>
      </c>
      <c r="D40" s="19" t="s">
        <v>40</v>
      </c>
      <c r="E40" s="19" t="s">
        <v>72</v>
      </c>
      <c r="F40" s="19" t="s">
        <v>234</v>
      </c>
      <c r="G40" s="19" t="s">
        <v>235</v>
      </c>
      <c r="H40" s="19" t="s">
        <v>236</v>
      </c>
      <c r="I40" s="19" t="s">
        <v>237</v>
      </c>
      <c r="J40" s="19" t="s">
        <v>163</v>
      </c>
      <c r="K40" s="19" t="s">
        <v>164</v>
      </c>
      <c r="L40" s="19" t="s">
        <v>238</v>
      </c>
      <c r="M40" s="19" t="s">
        <v>239</v>
      </c>
      <c r="N40" s="19" t="s">
        <v>240</v>
      </c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</row>
    <row r="41" spans="1:74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</row>
    <row r="42" spans="1:74" hidden="1" x14ac:dyDescent="0.3">
      <c r="A42" s="19" t="s">
        <v>44</v>
      </c>
      <c r="B42" s="19" t="s">
        <v>124</v>
      </c>
      <c r="C42" s="19" t="s">
        <v>46</v>
      </c>
      <c r="D42" s="19" t="s">
        <v>40</v>
      </c>
      <c r="E42" s="19" t="s">
        <v>72</v>
      </c>
      <c r="F42" s="19" t="s">
        <v>241</v>
      </c>
      <c r="G42" s="19" t="s">
        <v>242</v>
      </c>
      <c r="H42" s="19" t="s">
        <v>243</v>
      </c>
      <c r="I42" s="19" t="s">
        <v>244</v>
      </c>
      <c r="J42" s="19" t="s">
        <v>52</v>
      </c>
      <c r="K42" s="19" t="s">
        <v>53</v>
      </c>
      <c r="L42" s="19" t="s">
        <v>245</v>
      </c>
      <c r="M42" s="19" t="s">
        <v>246</v>
      </c>
      <c r="N42" s="19" t="s">
        <v>247</v>
      </c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</row>
    <row r="43" spans="1:74" x14ac:dyDescent="0.3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</row>
    <row r="44" spans="1:74" hidden="1" x14ac:dyDescent="0.3">
      <c r="A44" s="19" t="s">
        <v>233</v>
      </c>
      <c r="B44" s="19" t="s">
        <v>248</v>
      </c>
      <c r="C44" s="19" t="s">
        <v>133</v>
      </c>
      <c r="D44" s="19" t="s">
        <v>40</v>
      </c>
      <c r="E44" s="19" t="s">
        <v>72</v>
      </c>
      <c r="F44" s="19" t="s">
        <v>249</v>
      </c>
      <c r="G44" s="19" t="s">
        <v>250</v>
      </c>
      <c r="H44" s="19" t="s">
        <v>251</v>
      </c>
      <c r="I44" s="19" t="s">
        <v>252</v>
      </c>
      <c r="J44" s="19" t="s">
        <v>138</v>
      </c>
      <c r="K44" s="19" t="s">
        <v>139</v>
      </c>
      <c r="L44" s="19" t="s">
        <v>253</v>
      </c>
      <c r="M44" s="19" t="s">
        <v>254</v>
      </c>
      <c r="N44" s="19" t="s">
        <v>255</v>
      </c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</row>
    <row r="45" spans="1:74" hidden="1" x14ac:dyDescent="0.3">
      <c r="A45" s="19" t="s">
        <v>57</v>
      </c>
      <c r="B45" s="19" t="s">
        <v>185</v>
      </c>
      <c r="C45" s="19" t="s">
        <v>39</v>
      </c>
      <c r="D45" s="19" t="s">
        <v>27</v>
      </c>
      <c r="E45" s="19" t="s">
        <v>28</v>
      </c>
      <c r="F45" s="19" t="s">
        <v>256</v>
      </c>
      <c r="G45" s="19" t="s">
        <v>257</v>
      </c>
      <c r="H45" s="19" t="s">
        <v>258</v>
      </c>
      <c r="I45" s="19" t="s">
        <v>259</v>
      </c>
      <c r="J45" s="19" t="s">
        <v>42</v>
      </c>
      <c r="K45" s="19" t="s">
        <v>43</v>
      </c>
      <c r="L45" s="19" t="s">
        <v>260</v>
      </c>
      <c r="M45" s="19" t="s">
        <v>261</v>
      </c>
      <c r="N45" s="19" t="s">
        <v>262</v>
      </c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</row>
    <row r="46" spans="1:74" x14ac:dyDescent="0.3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</row>
    <row r="47" spans="1:74" x14ac:dyDescent="0.3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</row>
    <row r="48" spans="1:74" hidden="1" x14ac:dyDescent="0.3">
      <c r="A48" s="19" t="s">
        <v>57</v>
      </c>
      <c r="B48" s="19" t="s">
        <v>263</v>
      </c>
      <c r="C48" s="19" t="s">
        <v>39</v>
      </c>
      <c r="D48" s="19" t="s">
        <v>27</v>
      </c>
      <c r="E48" s="19" t="s">
        <v>28</v>
      </c>
      <c r="F48" s="19" t="s">
        <v>264</v>
      </c>
      <c r="G48" s="19" t="s">
        <v>265</v>
      </c>
      <c r="H48" s="19" t="s">
        <v>266</v>
      </c>
      <c r="I48" s="19" t="s">
        <v>267</v>
      </c>
      <c r="J48" s="19" t="s">
        <v>42</v>
      </c>
      <c r="K48" s="19" t="s">
        <v>43</v>
      </c>
      <c r="L48" s="19" t="s">
        <v>268</v>
      </c>
      <c r="M48" s="19" t="s">
        <v>269</v>
      </c>
      <c r="N48" s="19" t="s">
        <v>270</v>
      </c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</row>
    <row r="49" spans="1:74" x14ac:dyDescent="0.3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</row>
    <row r="50" spans="1:74" hidden="1" x14ac:dyDescent="0.3">
      <c r="A50" s="19" t="s">
        <v>44</v>
      </c>
      <c r="B50" s="19" t="s">
        <v>193</v>
      </c>
      <c r="C50" s="19" t="s">
        <v>86</v>
      </c>
      <c r="D50" s="19" t="s">
        <v>40</v>
      </c>
      <c r="E50" s="19" t="s">
        <v>72</v>
      </c>
      <c r="F50" s="19" t="s">
        <v>271</v>
      </c>
      <c r="G50" s="19" t="s">
        <v>272</v>
      </c>
      <c r="H50" s="19" t="s">
        <v>273</v>
      </c>
      <c r="I50" s="19" t="s">
        <v>274</v>
      </c>
      <c r="J50" s="19" t="s">
        <v>91</v>
      </c>
      <c r="K50" s="19" t="s">
        <v>92</v>
      </c>
      <c r="L50" s="19" t="s">
        <v>275</v>
      </c>
      <c r="M50" s="19" t="s">
        <v>276</v>
      </c>
      <c r="N50" s="19" t="s">
        <v>277</v>
      </c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</row>
    <row r="51" spans="1:74" hidden="1" x14ac:dyDescent="0.3">
      <c r="A51" s="19" t="s">
        <v>44</v>
      </c>
      <c r="B51" s="19" t="s">
        <v>278</v>
      </c>
      <c r="C51" s="19" t="s">
        <v>98</v>
      </c>
      <c r="D51" s="19" t="s">
        <v>27</v>
      </c>
      <c r="E51" s="19" t="s">
        <v>41</v>
      </c>
      <c r="F51" s="19" t="s">
        <v>279</v>
      </c>
      <c r="G51" s="19" t="s">
        <v>280</v>
      </c>
      <c r="H51" s="19" t="s">
        <v>281</v>
      </c>
      <c r="I51" s="19" t="s">
        <v>282</v>
      </c>
      <c r="J51" s="19" t="s">
        <v>103</v>
      </c>
      <c r="K51" s="19" t="s">
        <v>104</v>
      </c>
      <c r="L51" s="19" t="s">
        <v>283</v>
      </c>
      <c r="M51" s="19" t="s">
        <v>284</v>
      </c>
      <c r="N51" s="19" t="s">
        <v>285</v>
      </c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</row>
    <row r="52" spans="1:74" hidden="1" x14ac:dyDescent="0.3">
      <c r="A52" s="19" t="s">
        <v>57</v>
      </c>
      <c r="B52" s="19" t="s">
        <v>286</v>
      </c>
      <c r="C52" s="19" t="s">
        <v>46</v>
      </c>
      <c r="D52" s="19" t="s">
        <v>27</v>
      </c>
      <c r="E52" s="19" t="s">
        <v>41</v>
      </c>
      <c r="F52" s="19" t="s">
        <v>287</v>
      </c>
      <c r="G52" s="19" t="s">
        <v>288</v>
      </c>
      <c r="H52" s="19" t="s">
        <v>289</v>
      </c>
      <c r="I52" s="19" t="s">
        <v>290</v>
      </c>
      <c r="J52" s="19" t="s">
        <v>52</v>
      </c>
      <c r="K52" s="19" t="s">
        <v>53</v>
      </c>
      <c r="L52" s="19" t="s">
        <v>291</v>
      </c>
      <c r="M52" s="19" t="s">
        <v>292</v>
      </c>
      <c r="N52" s="19" t="s">
        <v>293</v>
      </c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</row>
    <row r="53" spans="1:74" x14ac:dyDescent="0.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</row>
    <row r="54" spans="1:74" x14ac:dyDescent="0.3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</row>
    <row r="55" spans="1:74" hidden="1" x14ac:dyDescent="0.3">
      <c r="A55" s="19" t="s">
        <v>233</v>
      </c>
      <c r="B55" s="19" t="s">
        <v>294</v>
      </c>
      <c r="C55" s="19" t="s">
        <v>39</v>
      </c>
      <c r="D55" s="19" t="s">
        <v>40</v>
      </c>
      <c r="E55" s="19" t="s">
        <v>72</v>
      </c>
      <c r="F55" s="19" t="s">
        <v>295</v>
      </c>
      <c r="G55" s="19" t="s">
        <v>296</v>
      </c>
      <c r="H55" s="19" t="s">
        <v>297</v>
      </c>
      <c r="I55" s="19" t="s">
        <v>298</v>
      </c>
      <c r="J55" s="19" t="s">
        <v>42</v>
      </c>
      <c r="K55" s="19" t="s">
        <v>43</v>
      </c>
      <c r="L55" s="19" t="s">
        <v>299</v>
      </c>
      <c r="M55" s="19" t="s">
        <v>300</v>
      </c>
      <c r="N55" s="19" t="s">
        <v>301</v>
      </c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</row>
    <row r="56" spans="1:74" hidden="1" x14ac:dyDescent="0.3">
      <c r="A56" s="19" t="s">
        <v>57</v>
      </c>
      <c r="B56" s="19" t="s">
        <v>302</v>
      </c>
      <c r="C56" s="19" t="s">
        <v>46</v>
      </c>
      <c r="D56" s="19" t="s">
        <v>27</v>
      </c>
      <c r="E56" s="19" t="s">
        <v>72</v>
      </c>
      <c r="F56" s="19" t="s">
        <v>303</v>
      </c>
      <c r="G56" s="19" t="s">
        <v>304</v>
      </c>
      <c r="H56" s="19" t="s">
        <v>305</v>
      </c>
      <c r="I56" s="19" t="s">
        <v>306</v>
      </c>
      <c r="J56" s="19" t="s">
        <v>52</v>
      </c>
      <c r="K56" s="19" t="s">
        <v>53</v>
      </c>
      <c r="L56" s="19" t="s">
        <v>307</v>
      </c>
      <c r="M56" s="19" t="s">
        <v>308</v>
      </c>
      <c r="N56" s="19" t="s">
        <v>309</v>
      </c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</row>
    <row r="57" spans="1:74" hidden="1" x14ac:dyDescent="0.3">
      <c r="A57" s="19" t="s">
        <v>57</v>
      </c>
      <c r="B57" s="19" t="s">
        <v>58</v>
      </c>
      <c r="C57" s="19" t="s">
        <v>59</v>
      </c>
      <c r="D57" s="19" t="s">
        <v>27</v>
      </c>
      <c r="E57" s="19" t="s">
        <v>28</v>
      </c>
      <c r="F57" s="19" t="s">
        <v>310</v>
      </c>
      <c r="G57" s="19" t="s">
        <v>311</v>
      </c>
      <c r="H57" s="19" t="s">
        <v>312</v>
      </c>
      <c r="I57" s="19" t="s">
        <v>313</v>
      </c>
      <c r="J57" s="19" t="s">
        <v>60</v>
      </c>
      <c r="K57" s="19" t="s">
        <v>61</v>
      </c>
      <c r="L57" s="19" t="s">
        <v>314</v>
      </c>
      <c r="M57" s="19" t="s">
        <v>315</v>
      </c>
      <c r="N57" s="19" t="s">
        <v>316</v>
      </c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</row>
    <row r="58" spans="1:74" x14ac:dyDescent="0.3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</row>
    <row r="59" spans="1:74" hidden="1" x14ac:dyDescent="0.3">
      <c r="A59" s="19" t="s">
        <v>24</v>
      </c>
      <c r="B59" s="19" t="s">
        <v>317</v>
      </c>
      <c r="C59" s="19" t="s">
        <v>98</v>
      </c>
      <c r="D59" s="19" t="s">
        <v>27</v>
      </c>
      <c r="E59" s="19" t="s">
        <v>41</v>
      </c>
      <c r="F59" s="19" t="s">
        <v>318</v>
      </c>
      <c r="G59" s="19" t="s">
        <v>319</v>
      </c>
      <c r="H59" s="19" t="s">
        <v>320</v>
      </c>
      <c r="I59" s="19" t="s">
        <v>321</v>
      </c>
      <c r="J59" s="19" t="s">
        <v>103</v>
      </c>
      <c r="K59" s="19" t="s">
        <v>104</v>
      </c>
      <c r="L59" s="19" t="s">
        <v>322</v>
      </c>
      <c r="M59" s="19" t="s">
        <v>323</v>
      </c>
      <c r="N59" s="19" t="s">
        <v>324</v>
      </c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</row>
    <row r="60" spans="1:74" hidden="1" x14ac:dyDescent="0.3">
      <c r="A60" s="19" t="s">
        <v>44</v>
      </c>
      <c r="B60" s="19" t="s">
        <v>325</v>
      </c>
      <c r="C60" s="19" t="s">
        <v>133</v>
      </c>
      <c r="D60" s="19" t="s">
        <v>27</v>
      </c>
      <c r="E60" s="19" t="s">
        <v>28</v>
      </c>
      <c r="F60" s="19" t="s">
        <v>326</v>
      </c>
      <c r="G60" s="19" t="s">
        <v>327</v>
      </c>
      <c r="H60" s="19" t="s">
        <v>328</v>
      </c>
      <c r="I60" s="19" t="s">
        <v>329</v>
      </c>
      <c r="J60" s="19" t="s">
        <v>138</v>
      </c>
      <c r="K60" s="19" t="s">
        <v>139</v>
      </c>
      <c r="L60" s="19" t="s">
        <v>330</v>
      </c>
      <c r="M60" s="19" t="s">
        <v>331</v>
      </c>
      <c r="N60" s="19" t="s">
        <v>332</v>
      </c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</row>
    <row r="61" spans="1:74" x14ac:dyDescent="0.3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</row>
    <row r="62" spans="1:74" hidden="1" x14ac:dyDescent="0.3">
      <c r="A62" s="19" t="s">
        <v>57</v>
      </c>
      <c r="B62" s="19" t="s">
        <v>218</v>
      </c>
      <c r="C62" s="19" t="s">
        <v>133</v>
      </c>
      <c r="D62" s="19" t="s">
        <v>27</v>
      </c>
      <c r="E62" s="19" t="s">
        <v>28</v>
      </c>
      <c r="F62" s="19" t="s">
        <v>333</v>
      </c>
      <c r="G62" s="19" t="s">
        <v>334</v>
      </c>
      <c r="H62" s="19" t="s">
        <v>335</v>
      </c>
      <c r="I62" s="19" t="s">
        <v>336</v>
      </c>
      <c r="J62" s="19" t="s">
        <v>138</v>
      </c>
      <c r="K62" s="19" t="s">
        <v>139</v>
      </c>
      <c r="L62" s="19" t="s">
        <v>337</v>
      </c>
      <c r="M62" s="19" t="s">
        <v>338</v>
      </c>
      <c r="N62" s="19" t="s">
        <v>339</v>
      </c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</row>
    <row r="63" spans="1:74" hidden="1" x14ac:dyDescent="0.3">
      <c r="A63" s="19" t="s">
        <v>24</v>
      </c>
      <c r="B63" s="19" t="s">
        <v>209</v>
      </c>
      <c r="C63" s="19" t="s">
        <v>39</v>
      </c>
      <c r="D63" s="19" t="s">
        <v>27</v>
      </c>
      <c r="E63" s="19" t="s">
        <v>28</v>
      </c>
      <c r="F63" s="19" t="s">
        <v>340</v>
      </c>
      <c r="G63" s="19" t="s">
        <v>341</v>
      </c>
      <c r="H63" s="19" t="s">
        <v>342</v>
      </c>
      <c r="I63" s="19" t="s">
        <v>343</v>
      </c>
      <c r="J63" s="19" t="s">
        <v>42</v>
      </c>
      <c r="K63" s="19" t="s">
        <v>43</v>
      </c>
      <c r="L63" s="19" t="s">
        <v>344</v>
      </c>
      <c r="M63" s="19" t="s">
        <v>345</v>
      </c>
      <c r="N63" s="19" t="s">
        <v>346</v>
      </c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</row>
    <row r="64" spans="1:74" x14ac:dyDescent="0.3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</row>
    <row r="65" spans="1:74" hidden="1" x14ac:dyDescent="0.3">
      <c r="A65" s="19" t="s">
        <v>57</v>
      </c>
      <c r="B65" s="19" t="s">
        <v>143</v>
      </c>
      <c r="C65" s="19" t="s">
        <v>46</v>
      </c>
      <c r="D65" s="19" t="s">
        <v>40</v>
      </c>
      <c r="E65" s="19" t="s">
        <v>72</v>
      </c>
      <c r="F65" s="19" t="s">
        <v>347</v>
      </c>
      <c r="G65" s="19" t="s">
        <v>348</v>
      </c>
      <c r="H65" s="19" t="s">
        <v>349</v>
      </c>
      <c r="I65" s="19" t="s">
        <v>350</v>
      </c>
      <c r="J65" s="19" t="s">
        <v>52</v>
      </c>
      <c r="K65" s="19" t="s">
        <v>53</v>
      </c>
      <c r="L65" s="19" t="s">
        <v>351</v>
      </c>
      <c r="M65" s="19" t="s">
        <v>352</v>
      </c>
      <c r="N65" s="19" t="s">
        <v>353</v>
      </c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</row>
    <row r="66" spans="1:74" hidden="1" x14ac:dyDescent="0.3">
      <c r="A66" s="19" t="s">
        <v>233</v>
      </c>
      <c r="B66" s="19" t="s">
        <v>354</v>
      </c>
      <c r="C66" s="19" t="s">
        <v>98</v>
      </c>
      <c r="D66" s="19" t="s">
        <v>27</v>
      </c>
      <c r="E66" s="19" t="s">
        <v>28</v>
      </c>
      <c r="F66" s="19" t="s">
        <v>355</v>
      </c>
      <c r="G66" s="19" t="s">
        <v>356</v>
      </c>
      <c r="H66" s="19" t="s">
        <v>357</v>
      </c>
      <c r="I66" s="19" t="s">
        <v>358</v>
      </c>
      <c r="J66" s="19" t="s">
        <v>103</v>
      </c>
      <c r="K66" s="19" t="s">
        <v>104</v>
      </c>
      <c r="L66" s="19" t="s">
        <v>359</v>
      </c>
      <c r="M66" s="19" t="s">
        <v>360</v>
      </c>
      <c r="N66" s="19" t="s">
        <v>361</v>
      </c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</row>
    <row r="67" spans="1:74" hidden="1" x14ac:dyDescent="0.3">
      <c r="A67" s="19" t="s">
        <v>38</v>
      </c>
      <c r="B67" s="19" t="s">
        <v>362</v>
      </c>
      <c r="C67" s="19" t="s">
        <v>133</v>
      </c>
      <c r="D67" s="19" t="s">
        <v>27</v>
      </c>
      <c r="E67" s="19" t="s">
        <v>28</v>
      </c>
      <c r="F67" s="19" t="s">
        <v>363</v>
      </c>
      <c r="G67" s="19" t="s">
        <v>364</v>
      </c>
      <c r="H67" s="19" t="s">
        <v>365</v>
      </c>
      <c r="I67" s="19" t="s">
        <v>366</v>
      </c>
      <c r="J67" s="19" t="s">
        <v>138</v>
      </c>
      <c r="K67" s="19" t="s">
        <v>139</v>
      </c>
      <c r="L67" s="19" t="s">
        <v>367</v>
      </c>
      <c r="M67" s="19" t="s">
        <v>368</v>
      </c>
      <c r="N67" s="19" t="s">
        <v>369</v>
      </c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</row>
    <row r="68" spans="1:74" hidden="1" x14ac:dyDescent="0.3">
      <c r="A68" s="19" t="s">
        <v>57</v>
      </c>
      <c r="B68" s="19" t="s">
        <v>62</v>
      </c>
      <c r="C68" s="19" t="s">
        <v>133</v>
      </c>
      <c r="D68" s="19" t="s">
        <v>27</v>
      </c>
      <c r="E68" s="19" t="s">
        <v>28</v>
      </c>
      <c r="F68" s="19" t="s">
        <v>370</v>
      </c>
      <c r="G68" s="19" t="s">
        <v>371</v>
      </c>
      <c r="H68" s="19" t="s">
        <v>372</v>
      </c>
      <c r="I68" s="19" t="s">
        <v>373</v>
      </c>
      <c r="J68" s="19" t="s">
        <v>138</v>
      </c>
      <c r="K68" s="19" t="s">
        <v>139</v>
      </c>
      <c r="L68" s="19" t="s">
        <v>374</v>
      </c>
      <c r="M68" s="19" t="s">
        <v>375</v>
      </c>
      <c r="N68" s="19" t="s">
        <v>376</v>
      </c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</row>
    <row r="69" spans="1:74" hidden="1" x14ac:dyDescent="0.3">
      <c r="A69" s="19" t="s">
        <v>57</v>
      </c>
      <c r="B69" s="19" t="s">
        <v>377</v>
      </c>
      <c r="C69" s="19" t="s">
        <v>86</v>
      </c>
      <c r="D69" s="19" t="s">
        <v>27</v>
      </c>
      <c r="E69" s="19" t="s">
        <v>47</v>
      </c>
      <c r="F69" s="19" t="s">
        <v>378</v>
      </c>
      <c r="G69" s="19" t="s">
        <v>379</v>
      </c>
      <c r="H69" s="19" t="s">
        <v>380</v>
      </c>
      <c r="I69" s="19" t="s">
        <v>381</v>
      </c>
      <c r="J69" s="19" t="s">
        <v>91</v>
      </c>
      <c r="K69" s="19" t="s">
        <v>92</v>
      </c>
      <c r="L69" s="19" t="s">
        <v>382</v>
      </c>
      <c r="M69" s="19" t="s">
        <v>383</v>
      </c>
      <c r="N69" s="19" t="s">
        <v>384</v>
      </c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</row>
    <row r="70" spans="1:74" hidden="1" x14ac:dyDescent="0.3">
      <c r="A70" s="19" t="s">
        <v>38</v>
      </c>
      <c r="B70" s="19" t="s">
        <v>385</v>
      </c>
      <c r="C70" s="19" t="s">
        <v>98</v>
      </c>
      <c r="D70" s="19" t="s">
        <v>27</v>
      </c>
      <c r="E70" s="19" t="s">
        <v>72</v>
      </c>
      <c r="F70" s="19" t="s">
        <v>386</v>
      </c>
      <c r="G70" s="19" t="s">
        <v>387</v>
      </c>
      <c r="H70" s="19" t="s">
        <v>388</v>
      </c>
      <c r="I70" s="19" t="s">
        <v>389</v>
      </c>
      <c r="J70" s="19" t="s">
        <v>103</v>
      </c>
      <c r="K70" s="19" t="s">
        <v>104</v>
      </c>
      <c r="L70" s="19" t="s">
        <v>390</v>
      </c>
      <c r="M70" s="19" t="s">
        <v>391</v>
      </c>
      <c r="N70" s="19" t="s">
        <v>392</v>
      </c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</row>
    <row r="71" spans="1:74" hidden="1" x14ac:dyDescent="0.3">
      <c r="A71" s="19" t="s">
        <v>44</v>
      </c>
      <c r="B71" s="19" t="s">
        <v>393</v>
      </c>
      <c r="C71" s="19" t="s">
        <v>46</v>
      </c>
      <c r="D71" s="19" t="s">
        <v>27</v>
      </c>
      <c r="E71" s="19" t="s">
        <v>28</v>
      </c>
      <c r="F71" s="19" t="s">
        <v>394</v>
      </c>
      <c r="G71" s="19" t="s">
        <v>395</v>
      </c>
      <c r="H71" s="19" t="s">
        <v>357</v>
      </c>
      <c r="I71" s="19" t="s">
        <v>396</v>
      </c>
      <c r="J71" s="19" t="s">
        <v>52</v>
      </c>
      <c r="K71" s="19" t="s">
        <v>53</v>
      </c>
      <c r="L71" s="19" t="s">
        <v>397</v>
      </c>
      <c r="M71" s="19" t="s">
        <v>398</v>
      </c>
      <c r="N71" s="19" t="s">
        <v>399</v>
      </c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</row>
    <row r="72" spans="1:74" hidden="1" x14ac:dyDescent="0.3">
      <c r="A72" s="19" t="s">
        <v>57</v>
      </c>
      <c r="B72" s="19" t="s">
        <v>400</v>
      </c>
      <c r="C72" s="19" t="s">
        <v>98</v>
      </c>
      <c r="D72" s="19" t="s">
        <v>27</v>
      </c>
      <c r="E72" s="19" t="s">
        <v>47</v>
      </c>
      <c r="F72" s="19" t="s">
        <v>401</v>
      </c>
      <c r="G72" s="19" t="s">
        <v>402</v>
      </c>
      <c r="H72" s="19" t="s">
        <v>403</v>
      </c>
      <c r="I72" s="19" t="s">
        <v>404</v>
      </c>
      <c r="J72" s="19" t="s">
        <v>103</v>
      </c>
      <c r="K72" s="19" t="s">
        <v>104</v>
      </c>
      <c r="L72" s="19" t="s">
        <v>405</v>
      </c>
      <c r="M72" s="19" t="s">
        <v>406</v>
      </c>
      <c r="N72" s="19" t="s">
        <v>407</v>
      </c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</row>
    <row r="73" spans="1:74" hidden="1" x14ac:dyDescent="0.3">
      <c r="A73" s="19" t="s">
        <v>96</v>
      </c>
      <c r="B73" s="19" t="s">
        <v>154</v>
      </c>
      <c r="C73" s="19" t="s">
        <v>46</v>
      </c>
      <c r="D73" s="19" t="s">
        <v>40</v>
      </c>
      <c r="E73" s="19" t="s">
        <v>72</v>
      </c>
      <c r="F73" s="19" t="s">
        <v>408</v>
      </c>
      <c r="G73" s="19" t="s">
        <v>409</v>
      </c>
      <c r="H73" s="19" t="s">
        <v>410</v>
      </c>
      <c r="I73" s="19" t="s">
        <v>411</v>
      </c>
      <c r="J73" s="19" t="s">
        <v>52</v>
      </c>
      <c r="K73" s="19" t="s">
        <v>53</v>
      </c>
      <c r="L73" s="19" t="s">
        <v>412</v>
      </c>
      <c r="M73" s="19" t="s">
        <v>413</v>
      </c>
      <c r="N73" s="19" t="s">
        <v>414</v>
      </c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</row>
    <row r="74" spans="1:74" x14ac:dyDescent="0.3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</row>
    <row r="75" spans="1:74" x14ac:dyDescent="0.3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</row>
    <row r="76" spans="1:74" x14ac:dyDescent="0.3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</row>
    <row r="77" spans="1:74" hidden="1" x14ac:dyDescent="0.3">
      <c r="A77" s="19" t="s">
        <v>233</v>
      </c>
      <c r="B77" s="19" t="s">
        <v>415</v>
      </c>
      <c r="C77" s="19" t="s">
        <v>133</v>
      </c>
      <c r="D77" s="19" t="s">
        <v>27</v>
      </c>
      <c r="E77" s="19" t="s">
        <v>47</v>
      </c>
      <c r="F77" s="19" t="s">
        <v>416</v>
      </c>
      <c r="G77" s="19" t="s">
        <v>417</v>
      </c>
      <c r="H77" s="19" t="s">
        <v>418</v>
      </c>
      <c r="I77" s="19" t="s">
        <v>419</v>
      </c>
      <c r="J77" s="19" t="s">
        <v>138</v>
      </c>
      <c r="K77" s="19" t="s">
        <v>139</v>
      </c>
      <c r="L77" s="19" t="s">
        <v>420</v>
      </c>
      <c r="M77" s="19" t="s">
        <v>421</v>
      </c>
      <c r="N77" s="19" t="s">
        <v>422</v>
      </c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</row>
    <row r="78" spans="1:74" hidden="1" x14ac:dyDescent="0.3">
      <c r="A78" s="19" t="s">
        <v>423</v>
      </c>
      <c r="B78" s="19" t="s">
        <v>424</v>
      </c>
      <c r="C78" s="19" t="s">
        <v>71</v>
      </c>
      <c r="D78" s="19" t="s">
        <v>27</v>
      </c>
      <c r="E78" s="19" t="s">
        <v>41</v>
      </c>
      <c r="F78" s="19" t="s">
        <v>425</v>
      </c>
      <c r="G78" s="19" t="s">
        <v>426</v>
      </c>
      <c r="H78" s="19" t="s">
        <v>427</v>
      </c>
      <c r="I78" s="19" t="s">
        <v>428</v>
      </c>
      <c r="J78" s="19" t="s">
        <v>77</v>
      </c>
      <c r="K78" s="19" t="s">
        <v>78</v>
      </c>
      <c r="L78" s="19" t="s">
        <v>429</v>
      </c>
      <c r="M78" s="19" t="s">
        <v>430</v>
      </c>
      <c r="N78" s="19" t="s">
        <v>431</v>
      </c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</row>
    <row r="79" spans="1:74" x14ac:dyDescent="0.3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</row>
    <row r="80" spans="1:74" hidden="1" x14ac:dyDescent="0.3">
      <c r="A80" s="19" t="s">
        <v>96</v>
      </c>
      <c r="B80" s="19" t="s">
        <v>432</v>
      </c>
      <c r="C80" s="19" t="s">
        <v>82</v>
      </c>
      <c r="D80" s="19" t="s">
        <v>27</v>
      </c>
      <c r="E80" s="19" t="s">
        <v>41</v>
      </c>
      <c r="F80" s="19" t="s">
        <v>433</v>
      </c>
      <c r="G80" s="19" t="s">
        <v>434</v>
      </c>
      <c r="H80" s="19" t="s">
        <v>435</v>
      </c>
      <c r="I80" s="19" t="s">
        <v>436</v>
      </c>
      <c r="J80" s="19" t="s">
        <v>83</v>
      </c>
      <c r="K80" s="19" t="s">
        <v>84</v>
      </c>
      <c r="L80" s="19" t="s">
        <v>437</v>
      </c>
      <c r="M80" s="19" t="s">
        <v>438</v>
      </c>
      <c r="N80" s="19" t="s">
        <v>439</v>
      </c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</row>
    <row r="81" spans="1:74" hidden="1" x14ac:dyDescent="0.3">
      <c r="A81" s="19" t="s">
        <v>44</v>
      </c>
      <c r="B81" s="19" t="s">
        <v>440</v>
      </c>
      <c r="C81" s="19" t="s">
        <v>26</v>
      </c>
      <c r="D81" s="19" t="s">
        <v>27</v>
      </c>
      <c r="E81" s="19" t="s">
        <v>28</v>
      </c>
      <c r="F81" s="19" t="s">
        <v>441</v>
      </c>
      <c r="G81" s="19" t="s">
        <v>442</v>
      </c>
      <c r="H81" s="19" t="s">
        <v>443</v>
      </c>
      <c r="I81" s="19" t="s">
        <v>444</v>
      </c>
      <c r="J81" s="19" t="s">
        <v>33</v>
      </c>
      <c r="K81" s="19" t="s">
        <v>34</v>
      </c>
      <c r="L81" s="19" t="s">
        <v>445</v>
      </c>
      <c r="M81" s="19" t="s">
        <v>446</v>
      </c>
      <c r="N81" s="19" t="s">
        <v>447</v>
      </c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</row>
    <row r="82" spans="1:74" x14ac:dyDescent="0.3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</row>
    <row r="83" spans="1:74" hidden="1" x14ac:dyDescent="0.3">
      <c r="A83" s="19" t="s">
        <v>44</v>
      </c>
      <c r="B83" s="19" t="s">
        <v>448</v>
      </c>
      <c r="C83" s="19" t="s">
        <v>71</v>
      </c>
      <c r="D83" s="19" t="s">
        <v>27</v>
      </c>
      <c r="E83" s="19" t="s">
        <v>47</v>
      </c>
      <c r="F83" s="19" t="s">
        <v>449</v>
      </c>
      <c r="G83" s="19" t="s">
        <v>450</v>
      </c>
      <c r="H83" s="19" t="s">
        <v>451</v>
      </c>
      <c r="I83" s="19" t="s">
        <v>452</v>
      </c>
      <c r="J83" s="19" t="s">
        <v>77</v>
      </c>
      <c r="K83" s="19" t="s">
        <v>78</v>
      </c>
      <c r="L83" s="19" t="s">
        <v>453</v>
      </c>
      <c r="M83" s="19" t="s">
        <v>454</v>
      </c>
      <c r="N83" s="19" t="s">
        <v>455</v>
      </c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</row>
    <row r="84" spans="1:74" x14ac:dyDescent="0.3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</row>
    <row r="85" spans="1:74" x14ac:dyDescent="0.3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</row>
    <row r="86" spans="1:74" x14ac:dyDescent="0.3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</row>
    <row r="87" spans="1:74" x14ac:dyDescent="0.3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</row>
    <row r="88" spans="1:74" hidden="1" x14ac:dyDescent="0.3">
      <c r="A88" s="19" t="s">
        <v>423</v>
      </c>
      <c r="B88" s="19" t="s">
        <v>424</v>
      </c>
      <c r="C88" s="19" t="s">
        <v>86</v>
      </c>
      <c r="D88" s="19" t="s">
        <v>27</v>
      </c>
      <c r="E88" s="19" t="s">
        <v>47</v>
      </c>
      <c r="F88" s="19" t="s">
        <v>456</v>
      </c>
      <c r="G88" s="19" t="s">
        <v>457</v>
      </c>
      <c r="H88" s="19" t="s">
        <v>458</v>
      </c>
      <c r="I88" s="19" t="s">
        <v>459</v>
      </c>
      <c r="J88" s="19" t="s">
        <v>91</v>
      </c>
      <c r="K88" s="19" t="s">
        <v>92</v>
      </c>
      <c r="L88" s="19" t="s">
        <v>460</v>
      </c>
      <c r="M88" s="19" t="s">
        <v>461</v>
      </c>
      <c r="N88" s="19" t="s">
        <v>462</v>
      </c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</row>
    <row r="89" spans="1:74" hidden="1" x14ac:dyDescent="0.3">
      <c r="A89" s="19" t="s">
        <v>57</v>
      </c>
      <c r="B89" s="19" t="s">
        <v>58</v>
      </c>
      <c r="C89" s="19" t="s">
        <v>144</v>
      </c>
      <c r="D89" s="19" t="s">
        <v>27</v>
      </c>
      <c r="E89" s="19" t="s">
        <v>41</v>
      </c>
      <c r="F89" s="19" t="s">
        <v>463</v>
      </c>
      <c r="G89" s="19" t="s">
        <v>464</v>
      </c>
      <c r="H89" s="19" t="s">
        <v>465</v>
      </c>
      <c r="I89" s="19" t="s">
        <v>466</v>
      </c>
      <c r="J89" s="19" t="s">
        <v>149</v>
      </c>
      <c r="K89" s="19" t="s">
        <v>150</v>
      </c>
      <c r="L89" s="19" t="s">
        <v>467</v>
      </c>
      <c r="M89" s="19" t="s">
        <v>468</v>
      </c>
      <c r="N89" s="19" t="s">
        <v>469</v>
      </c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</row>
    <row r="90" spans="1:74" hidden="1" x14ac:dyDescent="0.3">
      <c r="A90" s="19" t="s">
        <v>57</v>
      </c>
      <c r="B90" s="19" t="s">
        <v>185</v>
      </c>
      <c r="C90" s="19" t="s">
        <v>26</v>
      </c>
      <c r="D90" s="19" t="s">
        <v>27</v>
      </c>
      <c r="E90" s="19" t="s">
        <v>72</v>
      </c>
      <c r="F90" s="19" t="s">
        <v>470</v>
      </c>
      <c r="G90" s="19" t="s">
        <v>471</v>
      </c>
      <c r="H90" s="19" t="s">
        <v>472</v>
      </c>
      <c r="I90" s="19" t="s">
        <v>473</v>
      </c>
      <c r="J90" s="19" t="s">
        <v>33</v>
      </c>
      <c r="K90" s="19" t="s">
        <v>34</v>
      </c>
      <c r="L90" s="19" t="s">
        <v>474</v>
      </c>
      <c r="M90" s="19" t="s">
        <v>475</v>
      </c>
      <c r="N90" s="19" t="s">
        <v>476</v>
      </c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</row>
    <row r="91" spans="1:74" hidden="1" x14ac:dyDescent="0.3">
      <c r="A91" s="19" t="s">
        <v>233</v>
      </c>
      <c r="B91" s="19" t="s">
        <v>477</v>
      </c>
      <c r="C91" s="19" t="s">
        <v>59</v>
      </c>
      <c r="D91" s="19" t="s">
        <v>40</v>
      </c>
      <c r="E91" s="19" t="s">
        <v>72</v>
      </c>
      <c r="F91" s="19" t="s">
        <v>478</v>
      </c>
      <c r="G91" s="19" t="s">
        <v>479</v>
      </c>
      <c r="H91" s="19" t="s">
        <v>480</v>
      </c>
      <c r="I91" s="19" t="s">
        <v>481</v>
      </c>
      <c r="J91" s="19" t="s">
        <v>60</v>
      </c>
      <c r="K91" s="19" t="s">
        <v>61</v>
      </c>
      <c r="L91" s="19" t="s">
        <v>482</v>
      </c>
      <c r="M91" s="19" t="s">
        <v>483</v>
      </c>
      <c r="N91" s="19" t="s">
        <v>484</v>
      </c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</row>
    <row r="92" spans="1:74" hidden="1" x14ac:dyDescent="0.3">
      <c r="A92" s="19" t="s">
        <v>44</v>
      </c>
      <c r="B92" s="19" t="s">
        <v>485</v>
      </c>
      <c r="C92" s="19" t="s">
        <v>144</v>
      </c>
      <c r="D92" s="19" t="s">
        <v>27</v>
      </c>
      <c r="E92" s="19" t="s">
        <v>41</v>
      </c>
      <c r="F92" s="19" t="s">
        <v>486</v>
      </c>
      <c r="G92" s="19" t="s">
        <v>487</v>
      </c>
      <c r="H92" s="19" t="s">
        <v>488</v>
      </c>
      <c r="I92" s="19" t="s">
        <v>489</v>
      </c>
      <c r="J92" s="19" t="s">
        <v>149</v>
      </c>
      <c r="K92" s="19" t="s">
        <v>150</v>
      </c>
      <c r="L92" s="19" t="s">
        <v>490</v>
      </c>
      <c r="M92" s="19" t="s">
        <v>491</v>
      </c>
      <c r="N92" s="19" t="s">
        <v>492</v>
      </c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</row>
    <row r="93" spans="1:74" hidden="1" x14ac:dyDescent="0.3">
      <c r="A93" s="19" t="s">
        <v>57</v>
      </c>
      <c r="B93" s="19" t="s">
        <v>302</v>
      </c>
      <c r="C93" s="19" t="s">
        <v>46</v>
      </c>
      <c r="D93" s="19" t="s">
        <v>27</v>
      </c>
      <c r="E93" s="19" t="s">
        <v>28</v>
      </c>
      <c r="F93" s="19" t="s">
        <v>493</v>
      </c>
      <c r="G93" s="19" t="s">
        <v>494</v>
      </c>
      <c r="H93" s="19" t="s">
        <v>495</v>
      </c>
      <c r="I93" s="19" t="s">
        <v>496</v>
      </c>
      <c r="J93" s="19" t="s">
        <v>52</v>
      </c>
      <c r="K93" s="19" t="s">
        <v>53</v>
      </c>
      <c r="L93" s="19" t="s">
        <v>497</v>
      </c>
      <c r="M93" s="19" t="s">
        <v>498</v>
      </c>
      <c r="N93" s="19" t="s">
        <v>499</v>
      </c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</row>
    <row r="94" spans="1:74" hidden="1" x14ac:dyDescent="0.3">
      <c r="A94" s="19" t="s">
        <v>24</v>
      </c>
      <c r="B94" s="19" t="s">
        <v>209</v>
      </c>
      <c r="C94" s="19" t="s">
        <v>144</v>
      </c>
      <c r="D94" s="19" t="s">
        <v>27</v>
      </c>
      <c r="E94" s="19" t="s">
        <v>28</v>
      </c>
      <c r="F94" s="19" t="s">
        <v>500</v>
      </c>
      <c r="G94" s="19" t="s">
        <v>501</v>
      </c>
      <c r="H94" s="19" t="s">
        <v>502</v>
      </c>
      <c r="I94" s="19" t="s">
        <v>503</v>
      </c>
      <c r="J94" s="19" t="s">
        <v>149</v>
      </c>
      <c r="K94" s="19" t="s">
        <v>150</v>
      </c>
      <c r="L94" s="19" t="s">
        <v>504</v>
      </c>
      <c r="M94" s="19" t="s">
        <v>505</v>
      </c>
      <c r="N94" s="19" t="s">
        <v>506</v>
      </c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</row>
    <row r="95" spans="1:74" hidden="1" x14ac:dyDescent="0.3">
      <c r="A95" s="19" t="s">
        <v>233</v>
      </c>
      <c r="B95" s="19" t="s">
        <v>248</v>
      </c>
      <c r="C95" s="19" t="s">
        <v>46</v>
      </c>
      <c r="D95" s="19" t="s">
        <v>40</v>
      </c>
      <c r="E95" s="19" t="s">
        <v>72</v>
      </c>
      <c r="F95" s="19" t="s">
        <v>507</v>
      </c>
      <c r="G95" s="19" t="s">
        <v>508</v>
      </c>
      <c r="H95" s="19" t="s">
        <v>509</v>
      </c>
      <c r="I95" s="19" t="s">
        <v>510</v>
      </c>
      <c r="J95" s="19" t="s">
        <v>52</v>
      </c>
      <c r="K95" s="19" t="s">
        <v>53</v>
      </c>
      <c r="L95" s="19" t="s">
        <v>511</v>
      </c>
      <c r="M95" s="19" t="s">
        <v>512</v>
      </c>
      <c r="N95" s="19" t="s">
        <v>513</v>
      </c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</row>
    <row r="96" spans="1:74" x14ac:dyDescent="0.3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</row>
    <row r="97" spans="1:74" hidden="1" x14ac:dyDescent="0.3">
      <c r="A97" s="19" t="s">
        <v>38</v>
      </c>
      <c r="B97" s="19" t="s">
        <v>514</v>
      </c>
      <c r="C97" s="19" t="s">
        <v>144</v>
      </c>
      <c r="D97" s="19" t="s">
        <v>27</v>
      </c>
      <c r="E97" s="19" t="s">
        <v>41</v>
      </c>
      <c r="F97" s="19" t="s">
        <v>515</v>
      </c>
      <c r="G97" s="19" t="s">
        <v>516</v>
      </c>
      <c r="H97" s="19" t="s">
        <v>517</v>
      </c>
      <c r="I97" s="19" t="s">
        <v>518</v>
      </c>
      <c r="J97" s="19" t="s">
        <v>149</v>
      </c>
      <c r="K97" s="19" t="s">
        <v>150</v>
      </c>
      <c r="L97" s="19" t="s">
        <v>519</v>
      </c>
      <c r="M97" s="19" t="s">
        <v>520</v>
      </c>
      <c r="N97" s="19" t="s">
        <v>521</v>
      </c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</row>
    <row r="98" spans="1:74" hidden="1" x14ac:dyDescent="0.3">
      <c r="A98" s="19" t="s">
        <v>57</v>
      </c>
      <c r="B98" s="19" t="s">
        <v>177</v>
      </c>
      <c r="C98" s="19" t="s">
        <v>98</v>
      </c>
      <c r="D98" s="19" t="s">
        <v>40</v>
      </c>
      <c r="E98" s="19" t="s">
        <v>72</v>
      </c>
      <c r="F98" s="19" t="s">
        <v>522</v>
      </c>
      <c r="G98" s="19" t="s">
        <v>523</v>
      </c>
      <c r="H98" s="19" t="s">
        <v>524</v>
      </c>
      <c r="I98" s="19" t="s">
        <v>525</v>
      </c>
      <c r="J98" s="19" t="s">
        <v>103</v>
      </c>
      <c r="K98" s="19" t="s">
        <v>104</v>
      </c>
      <c r="L98" s="19" t="s">
        <v>526</v>
      </c>
      <c r="M98" s="19" t="s">
        <v>527</v>
      </c>
      <c r="N98" s="19" t="s">
        <v>528</v>
      </c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</row>
    <row r="99" spans="1:74" hidden="1" x14ac:dyDescent="0.3">
      <c r="A99" s="19" t="s">
        <v>96</v>
      </c>
      <c r="B99" s="19" t="s">
        <v>529</v>
      </c>
      <c r="C99" s="19" t="s">
        <v>59</v>
      </c>
      <c r="D99" s="19" t="s">
        <v>27</v>
      </c>
      <c r="E99" s="19" t="s">
        <v>47</v>
      </c>
      <c r="F99" s="19" t="s">
        <v>530</v>
      </c>
      <c r="G99" s="19" t="s">
        <v>531</v>
      </c>
      <c r="H99" s="19" t="s">
        <v>532</v>
      </c>
      <c r="I99" s="19" t="s">
        <v>533</v>
      </c>
      <c r="J99" s="19" t="s">
        <v>60</v>
      </c>
      <c r="K99" s="19" t="s">
        <v>61</v>
      </c>
      <c r="L99" s="19" t="s">
        <v>534</v>
      </c>
      <c r="M99" s="19" t="s">
        <v>535</v>
      </c>
      <c r="N99" s="19" t="s">
        <v>536</v>
      </c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</row>
    <row r="100" spans="1:74" hidden="1" x14ac:dyDescent="0.3">
      <c r="A100" s="19" t="s">
        <v>57</v>
      </c>
      <c r="B100" s="19" t="s">
        <v>302</v>
      </c>
      <c r="C100" s="19" t="s">
        <v>82</v>
      </c>
      <c r="D100" s="19" t="s">
        <v>27</v>
      </c>
      <c r="E100" s="19" t="s">
        <v>41</v>
      </c>
      <c r="F100" s="19" t="s">
        <v>537</v>
      </c>
      <c r="G100" s="19" t="s">
        <v>538</v>
      </c>
      <c r="H100" s="19" t="s">
        <v>539</v>
      </c>
      <c r="I100" s="19" t="s">
        <v>540</v>
      </c>
      <c r="J100" s="19" t="s">
        <v>83</v>
      </c>
      <c r="K100" s="19" t="s">
        <v>84</v>
      </c>
      <c r="L100" s="19" t="s">
        <v>541</v>
      </c>
      <c r="M100" s="19" t="s">
        <v>542</v>
      </c>
      <c r="N100" s="19" t="s">
        <v>543</v>
      </c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</row>
    <row r="101" spans="1:74" hidden="1" x14ac:dyDescent="0.3">
      <c r="A101" s="19" t="s">
        <v>423</v>
      </c>
      <c r="B101" s="19" t="s">
        <v>424</v>
      </c>
      <c r="C101" s="19" t="s">
        <v>86</v>
      </c>
      <c r="D101" s="19" t="s">
        <v>27</v>
      </c>
      <c r="E101" s="19" t="s">
        <v>72</v>
      </c>
      <c r="F101" s="19" t="s">
        <v>544</v>
      </c>
      <c r="G101" s="19" t="s">
        <v>545</v>
      </c>
      <c r="H101" s="19" t="s">
        <v>546</v>
      </c>
      <c r="I101" s="19" t="s">
        <v>547</v>
      </c>
      <c r="J101" s="19" t="s">
        <v>91</v>
      </c>
      <c r="K101" s="19" t="s">
        <v>92</v>
      </c>
      <c r="L101" s="19" t="s">
        <v>548</v>
      </c>
      <c r="M101" s="19" t="s">
        <v>549</v>
      </c>
      <c r="N101" s="19" t="s">
        <v>550</v>
      </c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</row>
    <row r="102" spans="1:74" hidden="1" x14ac:dyDescent="0.3">
      <c r="A102" s="19" t="s">
        <v>57</v>
      </c>
      <c r="B102" s="19" t="s">
        <v>551</v>
      </c>
      <c r="C102" s="19" t="s">
        <v>71</v>
      </c>
      <c r="D102" s="19" t="s">
        <v>27</v>
      </c>
      <c r="E102" s="19" t="s">
        <v>47</v>
      </c>
      <c r="F102" s="19" t="s">
        <v>552</v>
      </c>
      <c r="G102" s="19" t="s">
        <v>553</v>
      </c>
      <c r="H102" s="19" t="s">
        <v>554</v>
      </c>
      <c r="I102" s="19" t="s">
        <v>555</v>
      </c>
      <c r="J102" s="19" t="s">
        <v>77</v>
      </c>
      <c r="K102" s="19" t="s">
        <v>78</v>
      </c>
      <c r="L102" s="19" t="s">
        <v>556</v>
      </c>
      <c r="M102" s="19" t="s">
        <v>557</v>
      </c>
      <c r="N102" s="19" t="s">
        <v>558</v>
      </c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</row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S20"/>
  <sheetViews>
    <sheetView zoomScale="120" zoomScaleNormal="120" workbookViewId="0">
      <selection activeCell="W16" sqref="W16"/>
    </sheetView>
  </sheetViews>
  <sheetFormatPr defaultRowHeight="14.4" x14ac:dyDescent="0.3"/>
  <cols>
    <col min="2" max="14" width="2.5546875" customWidth="1"/>
    <col min="15" max="34" width="11" customWidth="1"/>
  </cols>
  <sheetData>
    <row r="1" spans="1:19" x14ac:dyDescent="0.3">
      <c r="A1" s="4" t="s">
        <v>9</v>
      </c>
      <c r="O1" s="5">
        <f>Output!B1 / ROWS(Source[#Data])</f>
        <v>0</v>
      </c>
    </row>
    <row r="2" spans="1:19" x14ac:dyDescent="0.3">
      <c r="A2" s="6">
        <f>O1</f>
        <v>0</v>
      </c>
    </row>
    <row r="4" spans="1:19" x14ac:dyDescent="0.3">
      <c r="C4" s="10">
        <f>(COLUMNS($C4:C$13)+10*(ROWS(C4:$C$13)-1))/100</f>
        <v>0.91</v>
      </c>
      <c r="D4" s="11">
        <f>(COLUMNS($C4:D$13)+10*(ROWS($C4:D$13)-1))/100</f>
        <v>0.92</v>
      </c>
      <c r="E4" s="11">
        <f>(COLUMNS($C4:E$13)+10*(ROWS($C4:E$13)-1))/100</f>
        <v>0.93</v>
      </c>
      <c r="F4" s="11">
        <f>(COLUMNS($C4:F$13)+10*(ROWS($C4:F$13)-1))/100</f>
        <v>0.94</v>
      </c>
      <c r="G4" s="11">
        <f>(COLUMNS($C4:G$13)+10*(ROWS($C4:G$13)-1))/100</f>
        <v>0.95</v>
      </c>
      <c r="H4" s="11">
        <f>(COLUMNS($C4:H$13)+10*(ROWS($C4:H$13)-1))/100</f>
        <v>0.96</v>
      </c>
      <c r="I4" s="11">
        <f>(COLUMNS($C4:I$13)+10*(ROWS($C4:I$13)-1))/100</f>
        <v>0.97</v>
      </c>
      <c r="J4" s="11">
        <f>(COLUMNS($C4:J$13)+10*(ROWS($C4:J$13)-1))/100</f>
        <v>0.98</v>
      </c>
      <c r="K4" s="11">
        <f>(COLUMNS($C4:K$13)+10*(ROWS($C4:K$13)-1))/100</f>
        <v>0.99</v>
      </c>
      <c r="L4" s="12">
        <f>(COLUMNS($C4:L$13)+10*(ROWS($C4:L$13)-1))/100</f>
        <v>1</v>
      </c>
    </row>
    <row r="5" spans="1:19" x14ac:dyDescent="0.3">
      <c r="C5" s="13">
        <f>(COLUMNS($C5:C$13)+10*(ROWS(C5:$C$13)-1))/100</f>
        <v>0.81</v>
      </c>
      <c r="D5" s="14">
        <f>(COLUMNS($C5:D$13)+10*(ROWS($C5:D$13)-1))/100</f>
        <v>0.82</v>
      </c>
      <c r="E5" s="14">
        <f>(COLUMNS($C5:E$13)+10*(ROWS($C5:E$13)-1))/100</f>
        <v>0.83</v>
      </c>
      <c r="F5" s="14">
        <f>(COLUMNS($C5:F$13)+10*(ROWS($C5:F$13)-1))/100</f>
        <v>0.84</v>
      </c>
      <c r="G5" s="14">
        <f>(COLUMNS($C5:G$13)+10*(ROWS($C5:G$13)-1))/100</f>
        <v>0.85</v>
      </c>
      <c r="H5" s="14">
        <f>(COLUMNS($C5:H$13)+10*(ROWS($C5:H$13)-1))/100</f>
        <v>0.86</v>
      </c>
      <c r="I5" s="14">
        <f>(COLUMNS($C5:I$13)+10*(ROWS($C5:I$13)-1))/100</f>
        <v>0.87</v>
      </c>
      <c r="J5" s="14">
        <f>(COLUMNS($C5:J$13)+10*(ROWS($C5:J$13)-1))/100</f>
        <v>0.88</v>
      </c>
      <c r="K5" s="14">
        <f>(COLUMNS($C5:K$13)+10*(ROWS($C5:K$13)-1))/100</f>
        <v>0.89</v>
      </c>
      <c r="L5" s="15">
        <f>(COLUMNS($C5:L$13)+10*(ROWS($C5:L$13)-1))/100</f>
        <v>0.9</v>
      </c>
    </row>
    <row r="6" spans="1:19" x14ac:dyDescent="0.3">
      <c r="C6" s="13">
        <f>(COLUMNS($C6:C$13)+10*(ROWS(C6:$C$13)-1))/100</f>
        <v>0.71</v>
      </c>
      <c r="D6" s="14">
        <f>(COLUMNS($C6:D$13)+10*(ROWS($C6:D$13)-1))/100</f>
        <v>0.72</v>
      </c>
      <c r="E6" s="14">
        <f>(COLUMNS($C6:E$13)+10*(ROWS($C6:E$13)-1))/100</f>
        <v>0.73</v>
      </c>
      <c r="F6" s="14">
        <f>(COLUMNS($C6:F$13)+10*(ROWS($C6:F$13)-1))/100</f>
        <v>0.74</v>
      </c>
      <c r="G6" s="14">
        <f>(COLUMNS($C6:G$13)+10*(ROWS($C6:G$13)-1))/100</f>
        <v>0.75</v>
      </c>
      <c r="H6" s="14">
        <f>(COLUMNS($C6:H$13)+10*(ROWS($C6:H$13)-1))/100</f>
        <v>0.76</v>
      </c>
      <c r="I6" s="14">
        <f>(COLUMNS($C6:I$13)+10*(ROWS($C6:I$13)-1))/100</f>
        <v>0.77</v>
      </c>
      <c r="J6" s="14">
        <f>(COLUMNS($C6:J$13)+10*(ROWS($C6:J$13)-1))/100</f>
        <v>0.78</v>
      </c>
      <c r="K6" s="14">
        <f>(COLUMNS($C6:K$13)+10*(ROWS($C6:K$13)-1))/100</f>
        <v>0.79</v>
      </c>
      <c r="L6" s="15">
        <f>(COLUMNS($C6:L$13)+10*(ROWS($C6:L$13)-1))/100</f>
        <v>0.8</v>
      </c>
    </row>
    <row r="7" spans="1:19" x14ac:dyDescent="0.3">
      <c r="C7" s="13">
        <f>(COLUMNS($C7:C$13)+10*(ROWS(C7:$C$13)-1))/100</f>
        <v>0.61</v>
      </c>
      <c r="D7" s="14">
        <f>(COLUMNS($C7:D$13)+10*(ROWS($C7:D$13)-1))/100</f>
        <v>0.62</v>
      </c>
      <c r="E7" s="14">
        <f>(COLUMNS($C7:E$13)+10*(ROWS($C7:E$13)-1))/100</f>
        <v>0.63</v>
      </c>
      <c r="F7" s="14">
        <f>(COLUMNS($C7:F$13)+10*(ROWS($C7:F$13)-1))/100</f>
        <v>0.64</v>
      </c>
      <c r="G7" s="14">
        <f>(COLUMNS($C7:G$13)+10*(ROWS($C7:G$13)-1))/100</f>
        <v>0.65</v>
      </c>
      <c r="H7" s="14">
        <f>(COLUMNS($C7:H$13)+10*(ROWS($C7:H$13)-1))/100</f>
        <v>0.66</v>
      </c>
      <c r="I7" s="14">
        <f>(COLUMNS($C7:I$13)+10*(ROWS($C7:I$13)-1))/100</f>
        <v>0.67</v>
      </c>
      <c r="J7" s="14">
        <f>(COLUMNS($C7:J$13)+10*(ROWS($C7:J$13)-1))/100</f>
        <v>0.68</v>
      </c>
      <c r="K7" s="14">
        <f>(COLUMNS($C7:K$13)+10*(ROWS($C7:K$13)-1))/100</f>
        <v>0.69</v>
      </c>
      <c r="L7" s="15">
        <f>(COLUMNS($C7:L$13)+10*(ROWS($C7:L$13)-1))/100</f>
        <v>0.7</v>
      </c>
    </row>
    <row r="8" spans="1:19" x14ac:dyDescent="0.3">
      <c r="C8" s="13">
        <f>(COLUMNS($C8:C$13)+10*(ROWS(C8:$C$13)-1))/100</f>
        <v>0.51</v>
      </c>
      <c r="D8" s="14">
        <f>(COLUMNS($C8:D$13)+10*(ROWS($C8:D$13)-1))/100</f>
        <v>0.52</v>
      </c>
      <c r="E8" s="14">
        <f>(COLUMNS($C8:E$13)+10*(ROWS($C8:E$13)-1))/100</f>
        <v>0.53</v>
      </c>
      <c r="F8" s="14">
        <f>(COLUMNS($C8:F$13)+10*(ROWS($C8:F$13)-1))/100</f>
        <v>0.54</v>
      </c>
      <c r="G8" s="14">
        <f>(COLUMNS($C8:G$13)+10*(ROWS($C8:G$13)-1))/100</f>
        <v>0.55000000000000004</v>
      </c>
      <c r="H8" s="14">
        <f>(COLUMNS($C8:H$13)+10*(ROWS($C8:H$13)-1))/100</f>
        <v>0.56000000000000005</v>
      </c>
      <c r="I8" s="14">
        <f>(COLUMNS($C8:I$13)+10*(ROWS($C8:I$13)-1))/100</f>
        <v>0.56999999999999995</v>
      </c>
      <c r="J8" s="14">
        <f>(COLUMNS($C8:J$13)+10*(ROWS($C8:J$13)-1))/100</f>
        <v>0.57999999999999996</v>
      </c>
      <c r="K8" s="14">
        <f>(COLUMNS($C8:K$13)+10*(ROWS($C8:K$13)-1))/100</f>
        <v>0.59</v>
      </c>
      <c r="L8" s="15">
        <f>(COLUMNS($C8:L$13)+10*(ROWS($C8:L$13)-1))/100</f>
        <v>0.6</v>
      </c>
      <c r="S8" s="7"/>
    </row>
    <row r="9" spans="1:19" x14ac:dyDescent="0.3">
      <c r="C9" s="13">
        <f>(COLUMNS($C9:C$13)+10*(ROWS(C9:$C$13)-1))/100</f>
        <v>0.41</v>
      </c>
      <c r="D9" s="14">
        <f>(COLUMNS($C9:D$13)+10*(ROWS($C9:D$13)-1))/100</f>
        <v>0.42</v>
      </c>
      <c r="E9" s="14">
        <f>(COLUMNS($C9:E$13)+10*(ROWS($C9:E$13)-1))/100</f>
        <v>0.43</v>
      </c>
      <c r="F9" s="14">
        <f>(COLUMNS($C9:F$13)+10*(ROWS($C9:F$13)-1))/100</f>
        <v>0.44</v>
      </c>
      <c r="G9" s="14">
        <f>(COLUMNS($C9:G$13)+10*(ROWS($C9:G$13)-1))/100</f>
        <v>0.45</v>
      </c>
      <c r="H9" s="14">
        <f>(COLUMNS($C9:H$13)+10*(ROWS($C9:H$13)-1))/100</f>
        <v>0.46</v>
      </c>
      <c r="I9" s="14">
        <f>(COLUMNS($C9:I$13)+10*(ROWS($C9:I$13)-1))/100</f>
        <v>0.47</v>
      </c>
      <c r="J9" s="14">
        <f>(COLUMNS($C9:J$13)+10*(ROWS($C9:J$13)-1))/100</f>
        <v>0.48</v>
      </c>
      <c r="K9" s="14">
        <f>(COLUMNS($C9:K$13)+10*(ROWS($C9:K$13)-1))/100</f>
        <v>0.49</v>
      </c>
      <c r="L9" s="15">
        <f>(COLUMNS($C9:L$13)+10*(ROWS($C9:L$13)-1))/100</f>
        <v>0.5</v>
      </c>
    </row>
    <row r="10" spans="1:19" x14ac:dyDescent="0.3">
      <c r="C10" s="13">
        <f>(COLUMNS($C10:C$13)+10*(ROWS(C10:$C$13)-1))/100</f>
        <v>0.31</v>
      </c>
      <c r="D10" s="14">
        <f>(COLUMNS($C10:D$13)+10*(ROWS($C10:D$13)-1))/100</f>
        <v>0.32</v>
      </c>
      <c r="E10" s="14">
        <f>(COLUMNS($C10:E$13)+10*(ROWS($C10:E$13)-1))/100</f>
        <v>0.33</v>
      </c>
      <c r="F10" s="14">
        <f>(COLUMNS($C10:F$13)+10*(ROWS($C10:F$13)-1))/100</f>
        <v>0.34</v>
      </c>
      <c r="G10" s="14">
        <f>(COLUMNS($C10:G$13)+10*(ROWS($C10:G$13)-1))/100</f>
        <v>0.35</v>
      </c>
      <c r="H10" s="14">
        <f>(COLUMNS($C10:H$13)+10*(ROWS($C10:H$13)-1))/100</f>
        <v>0.36</v>
      </c>
      <c r="I10" s="14">
        <f>(COLUMNS($C10:I$13)+10*(ROWS($C10:I$13)-1))/100</f>
        <v>0.37</v>
      </c>
      <c r="J10" s="14">
        <f>(COLUMNS($C10:J$13)+10*(ROWS($C10:J$13)-1))/100</f>
        <v>0.38</v>
      </c>
      <c r="K10" s="14">
        <f>(COLUMNS($C10:K$13)+10*(ROWS($C10:K$13)-1))/100</f>
        <v>0.39</v>
      </c>
      <c r="L10" s="15">
        <f>(COLUMNS($C10:L$13)+10*(ROWS($C10:L$13)-1))/100</f>
        <v>0.4</v>
      </c>
    </row>
    <row r="11" spans="1:19" x14ac:dyDescent="0.3">
      <c r="C11" s="13">
        <f>(COLUMNS($C11:C$13)+10*(ROWS(C11:$C$13)-1))/100</f>
        <v>0.21</v>
      </c>
      <c r="D11" s="14">
        <f>(COLUMNS($C11:D$13)+10*(ROWS($C11:D$13)-1))/100</f>
        <v>0.22</v>
      </c>
      <c r="E11" s="14">
        <f>(COLUMNS($C11:E$13)+10*(ROWS($C11:E$13)-1))/100</f>
        <v>0.23</v>
      </c>
      <c r="F11" s="14">
        <f>(COLUMNS($C11:F$13)+10*(ROWS($C11:F$13)-1))/100</f>
        <v>0.24</v>
      </c>
      <c r="G11" s="14">
        <f>(COLUMNS($C11:G$13)+10*(ROWS($C11:G$13)-1))/100</f>
        <v>0.25</v>
      </c>
      <c r="H11" s="14">
        <f>(COLUMNS($C11:H$13)+10*(ROWS($C11:H$13)-1))/100</f>
        <v>0.26</v>
      </c>
      <c r="I11" s="14">
        <f>(COLUMNS($C11:I$13)+10*(ROWS($C11:I$13)-1))/100</f>
        <v>0.27</v>
      </c>
      <c r="J11" s="14">
        <f>(COLUMNS($C11:J$13)+10*(ROWS($C11:J$13)-1))/100</f>
        <v>0.28000000000000003</v>
      </c>
      <c r="K11" s="14">
        <f>(COLUMNS($C11:K$13)+10*(ROWS($C11:K$13)-1))/100</f>
        <v>0.28999999999999998</v>
      </c>
      <c r="L11" s="15">
        <f>(COLUMNS($C11:L$13)+10*(ROWS($C11:L$13)-1))/100</f>
        <v>0.3</v>
      </c>
    </row>
    <row r="12" spans="1:19" x14ac:dyDescent="0.3">
      <c r="C12" s="13">
        <f>(COLUMNS($C12:C$13)+10*(ROWS(C12:$C$13)-1))/100</f>
        <v>0.11</v>
      </c>
      <c r="D12" s="14">
        <f>(COLUMNS($C12:D$13)+10*(ROWS($C12:D$13)-1))/100</f>
        <v>0.12</v>
      </c>
      <c r="E12" s="14">
        <f>(COLUMNS($C12:E$13)+10*(ROWS($C12:E$13)-1))/100</f>
        <v>0.13</v>
      </c>
      <c r="F12" s="14">
        <f>(COLUMNS($C12:F$13)+10*(ROWS($C12:F$13)-1))/100</f>
        <v>0.14000000000000001</v>
      </c>
      <c r="G12" s="14">
        <f>(COLUMNS($C12:G$13)+10*(ROWS($C12:G$13)-1))/100</f>
        <v>0.15</v>
      </c>
      <c r="H12" s="14">
        <f>(COLUMNS($C12:H$13)+10*(ROWS($C12:H$13)-1))/100</f>
        <v>0.16</v>
      </c>
      <c r="I12" s="14">
        <f>(COLUMNS($C12:I$13)+10*(ROWS($C12:I$13)-1))/100</f>
        <v>0.17</v>
      </c>
      <c r="J12" s="14">
        <f>(COLUMNS($C12:J$13)+10*(ROWS($C12:J$13)-1))/100</f>
        <v>0.18</v>
      </c>
      <c r="K12" s="14">
        <f>(COLUMNS($C12:K$13)+10*(ROWS($C12:K$13)-1))/100</f>
        <v>0.19</v>
      </c>
      <c r="L12" s="15">
        <f>(COLUMNS($C12:L$13)+10*(ROWS($C12:L$13)-1))/100</f>
        <v>0.2</v>
      </c>
    </row>
    <row r="13" spans="1:19" x14ac:dyDescent="0.3">
      <c r="C13" s="16">
        <f>(COLUMNS($C13:C$13)+10*(ROWS(C13:$C$13)-1))/100</f>
        <v>0.01</v>
      </c>
      <c r="D13" s="17">
        <f>(COLUMNS($C13:D$13)+10*(ROWS($C13:D$13)-1))/100</f>
        <v>0.02</v>
      </c>
      <c r="E13" s="17">
        <f>(COLUMNS($C13:E$13)+10*(ROWS($C13:E$13)-1))/100</f>
        <v>0.03</v>
      </c>
      <c r="F13" s="17">
        <f>(COLUMNS($C13:F$13)+10*(ROWS($C13:F$13)-1))/100</f>
        <v>0.04</v>
      </c>
      <c r="G13" s="17">
        <f>(COLUMNS($C13:G$13)+10*(ROWS($C13:G$13)-1))/100</f>
        <v>0.05</v>
      </c>
      <c r="H13" s="17">
        <f>(COLUMNS($C13:H$13)+10*(ROWS($C13:H$13)-1))/100</f>
        <v>0.06</v>
      </c>
      <c r="I13" s="17">
        <f>(COLUMNS($C13:I$13)+10*(ROWS($C13:I$13)-1))/100</f>
        <v>7.0000000000000007E-2</v>
      </c>
      <c r="J13" s="17">
        <f>(COLUMNS($C13:J$13)+10*(ROWS($C13:J$13)-1))/100</f>
        <v>0.08</v>
      </c>
      <c r="K13" s="17">
        <f>(COLUMNS($C13:K$13)+10*(ROWS($C13:K$13)-1))/100</f>
        <v>0.09</v>
      </c>
      <c r="L13" s="18">
        <f>(COLUMNS($C13:L$13)+10*(ROWS($C13:L$13)-1))/100</f>
        <v>0.1</v>
      </c>
    </row>
    <row r="17" spans="1:1" x14ac:dyDescent="0.3">
      <c r="A17" s="8"/>
    </row>
    <row r="20" spans="1:1" x14ac:dyDescent="0.3">
      <c r="A20" s="8"/>
    </row>
  </sheetData>
  <conditionalFormatting sqref="C4:L13">
    <cfRule type="cellIs" dxfId="2" priority="1" operator="between">
      <formula>0</formula>
      <formula>$A$2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2"/>
  <dimension ref="A1:H64"/>
  <sheetViews>
    <sheetView workbookViewId="0">
      <selection activeCell="E2" sqref="E2"/>
    </sheetView>
  </sheetViews>
  <sheetFormatPr defaultRowHeight="14.4" x14ac:dyDescent="0.3"/>
  <cols>
    <col min="1" max="1" width="26.44140625" customWidth="1"/>
    <col min="3" max="3" width="13.33203125" customWidth="1"/>
    <col min="5" max="5" width="17.5546875" customWidth="1"/>
  </cols>
  <sheetData>
    <row r="1" spans="1:5" x14ac:dyDescent="0.3">
      <c r="A1" t="s">
        <v>0</v>
      </c>
      <c r="C1" t="s">
        <v>2</v>
      </c>
      <c r="E1" t="s">
        <v>8</v>
      </c>
    </row>
    <row r="2" spans="1:5" x14ac:dyDescent="0.3">
      <c r="A2" s="1" t="s">
        <v>559</v>
      </c>
      <c r="C2" t="s">
        <v>3</v>
      </c>
      <c r="E2" t="s">
        <v>3</v>
      </c>
    </row>
    <row r="3" spans="1:5" x14ac:dyDescent="0.3">
      <c r="C3" t="s">
        <v>4</v>
      </c>
    </row>
    <row r="4" spans="1:5" x14ac:dyDescent="0.3">
      <c r="C4" t="s">
        <v>5</v>
      </c>
    </row>
    <row r="5" spans="1:5" x14ac:dyDescent="0.3">
      <c r="C5" t="s">
        <v>6</v>
      </c>
    </row>
    <row r="6" spans="1:5" x14ac:dyDescent="0.3">
      <c r="C6" t="s">
        <v>7</v>
      </c>
    </row>
    <row r="64" spans="8:8" x14ac:dyDescent="0.3">
      <c r="H64" t="s">
        <v>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796E9A-AD81-41A5-BEA4-561FD3C329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Sources</vt:lpstr>
      <vt:lpstr>Output</vt:lpstr>
      <vt:lpstr>Foglio2</vt:lpstr>
      <vt:lpstr>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2021-03-24T12:49:49Z</dcterms:modified>
</cp:coreProperties>
</file>